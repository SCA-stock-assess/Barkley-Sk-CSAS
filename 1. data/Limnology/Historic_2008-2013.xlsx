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brownn\Documents\WCVI\Area 23 stocks\Sockeye\GCL fertilization\Data\"/>
    </mc:Choice>
  </mc:AlternateContent>
  <xr:revisionPtr revIDLastSave="0" documentId="13_ncr:1_{5F3087D9-C743-4D74-AA05-0687AE1672DD}" xr6:coauthVersionLast="47" xr6:coauthVersionMax="47" xr10:uidLastSave="{00000000-0000-0000-0000-000000000000}"/>
  <bookViews>
    <workbookView xWindow="16690" yWindow="-470" windowWidth="19420" windowHeight="10420" activeTab="5" xr2:uid="{00000000-000D-0000-FFFF-FFFF00000000}"/>
  </bookViews>
  <sheets>
    <sheet name="ZPL2008" sheetId="1" r:id="rId1"/>
    <sheet name="ZPL2009" sheetId="2" r:id="rId2"/>
    <sheet name="ZPL2010" sheetId="3" r:id="rId3"/>
    <sheet name="ZPL2011" sheetId="4" r:id="rId4"/>
    <sheet name="ZPL2012" sheetId="5" r:id="rId5"/>
    <sheet name="ZPL2013" sheetId="6" r:id="rId6"/>
    <sheet name="PPL2008" sheetId="7" r:id="rId7"/>
    <sheet name="PPL2009" sheetId="8" r:id="rId8"/>
    <sheet name="PPL2010" sheetId="9" r:id="rId9"/>
    <sheet name="PPL2011" sheetId="10" r:id="rId10"/>
    <sheet name="PPL2012" sheetId="11" r:id="rId11"/>
    <sheet name="CHEM2008" sheetId="13" r:id="rId12"/>
    <sheet name="CHEM2009" sheetId="14" r:id="rId13"/>
    <sheet name="CHEM2010" sheetId="15" r:id="rId14"/>
    <sheet name="CHEM2011" sheetId="16" r:id="rId15"/>
    <sheet name="CHEM2012" sheetId="17" r:id="rId16"/>
    <sheet name="CHEM2013" sheetId="18" r:id="rId17"/>
  </sheets>
  <externalReferences>
    <externalReference r:id="rId18"/>
  </externalReferences>
  <definedNames>
    <definedName name="FractionAnalyzed">'[1]Fraction Analyzed'!$B$1:$I$59</definedName>
    <definedName name="SampleVolFixedVol_L">'[1]Meta Data'!$C$13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6" l="1"/>
  <c r="K16" i="6"/>
  <c r="K15" i="6"/>
</calcChain>
</file>

<file path=xl/sharedStrings.xml><?xml version="1.0" encoding="utf-8"?>
<sst xmlns="http://schemas.openxmlformats.org/spreadsheetml/2006/main" count="1134" uniqueCount="118">
  <si>
    <t>SampleDate</t>
  </si>
  <si>
    <t>Station</t>
  </si>
  <si>
    <t>Metric</t>
  </si>
  <si>
    <t>Biomass</t>
  </si>
  <si>
    <t>Density</t>
  </si>
  <si>
    <t>Depth</t>
  </si>
  <si>
    <t>Date</t>
  </si>
  <si>
    <t>Nauplii</t>
  </si>
  <si>
    <t>Bosmina</t>
  </si>
  <si>
    <t>Holopedium</t>
  </si>
  <si>
    <t>Daphnia</t>
  </si>
  <si>
    <t>Polyphemus</t>
  </si>
  <si>
    <t>Chydorid</t>
  </si>
  <si>
    <t>Diaphanosoma</t>
  </si>
  <si>
    <t>Rotifer</t>
  </si>
  <si>
    <t>Chironomid</t>
  </si>
  <si>
    <t>Chydorus</t>
  </si>
  <si>
    <t>Ceriodaphnia</t>
  </si>
  <si>
    <t>Rotifers</t>
  </si>
  <si>
    <t>Rotifers: Asplanchna sp/ Filinia sp.</t>
  </si>
  <si>
    <t>Rotifer Kellicottia</t>
  </si>
  <si>
    <t>Rotifer Keratella</t>
  </si>
  <si>
    <t>Rotifer Notholca</t>
  </si>
  <si>
    <t>Cyclopoid nauplius</t>
  </si>
  <si>
    <t>Calanoid nauplius</t>
  </si>
  <si>
    <t>Cyclopoid copepodid</t>
  </si>
  <si>
    <t>Calanoid copepodid</t>
  </si>
  <si>
    <t>Diacyclops bicuspidatus</t>
  </si>
  <si>
    <t>Skistodiaptomus oregonensis</t>
  </si>
  <si>
    <t>Epischura nevadensis copepodid</t>
  </si>
  <si>
    <t>Epischura nevadensis</t>
  </si>
  <si>
    <t>Ceriodaphnia sp.</t>
  </si>
  <si>
    <t>Daphnia Species</t>
  </si>
  <si>
    <t xml:space="preserve">Daphnia </t>
  </si>
  <si>
    <t>Daphnia Pulex</t>
  </si>
  <si>
    <t>Leptodora kindtii</t>
  </si>
  <si>
    <t>Holopedium gibberum</t>
  </si>
  <si>
    <t>Diaphanosoma leuchtenbergianum</t>
  </si>
  <si>
    <t>Mysid</t>
  </si>
  <si>
    <t>Chironomid Larva</t>
  </si>
  <si>
    <t>Sida</t>
  </si>
  <si>
    <t>Lake</t>
  </si>
  <si>
    <t>Sample date</t>
  </si>
  <si>
    <t>Season</t>
  </si>
  <si>
    <t>Sample volume (L)</t>
  </si>
  <si>
    <t>Net efficiency</t>
  </si>
  <si>
    <t>Haul speed (m/s)</t>
  </si>
  <si>
    <t>Count date</t>
  </si>
  <si>
    <t>Species code</t>
  </si>
  <si>
    <t>Animal/Egg</t>
  </si>
  <si>
    <t>Fraction analyzed</t>
  </si>
  <si>
    <t>Count</t>
  </si>
  <si>
    <t>Density (#/L)</t>
  </si>
  <si>
    <t>Mean Length (mm)</t>
  </si>
  <si>
    <t>Mean Weight (ug)</t>
  </si>
  <si>
    <t>Biomass (ug/L)</t>
  </si>
  <si>
    <t>Great Central</t>
  </si>
  <si>
    <t>1, 2, 3, 4</t>
  </si>
  <si>
    <t>D437</t>
  </si>
  <si>
    <t>D438</t>
  </si>
  <si>
    <t>D501</t>
  </si>
  <si>
    <t>D505</t>
  </si>
  <si>
    <t>D510</t>
  </si>
  <si>
    <t>D520</t>
  </si>
  <si>
    <t>D530</t>
  </si>
  <si>
    <t>D539</t>
  </si>
  <si>
    <t>D540</t>
  </si>
  <si>
    <t>D550</t>
  </si>
  <si>
    <t>D560</t>
  </si>
  <si>
    <t>D570</t>
  </si>
  <si>
    <t>Animal</t>
  </si>
  <si>
    <t>E620</t>
  </si>
  <si>
    <t>E650</t>
  </si>
  <si>
    <t>D515</t>
  </si>
  <si>
    <t>E630</t>
  </si>
  <si>
    <t>E659</t>
  </si>
  <si>
    <t>E677</t>
  </si>
  <si>
    <t>Egg</t>
  </si>
  <si>
    <t>D439</t>
  </si>
  <si>
    <t>D571</t>
  </si>
  <si>
    <t>D577</t>
  </si>
  <si>
    <t>D440</t>
  </si>
  <si>
    <t>Cyanophyta</t>
  </si>
  <si>
    <t>Dinophyta</t>
  </si>
  <si>
    <t>Cryptophyta</t>
  </si>
  <si>
    <t>Euglenophyta</t>
  </si>
  <si>
    <t>Chrysophyta</t>
  </si>
  <si>
    <t>Haptophyta</t>
  </si>
  <si>
    <t>Tribophyta</t>
  </si>
  <si>
    <t>Chlorophyta</t>
  </si>
  <si>
    <t>Raphidophyta</t>
  </si>
  <si>
    <t>Bacillariophyta</t>
  </si>
  <si>
    <t>GCL</t>
  </si>
  <si>
    <t>Edibility</t>
  </si>
  <si>
    <t>Total</t>
  </si>
  <si>
    <t>Edible</t>
  </si>
  <si>
    <t>1,3,5,</t>
  </si>
  <si>
    <t>Depth m</t>
  </si>
  <si>
    <r>
      <t>Nitrite µg L</t>
    </r>
    <r>
      <rPr>
        <vertAlign val="superscript"/>
        <sz val="10"/>
        <rFont val="Arial"/>
        <family val="2"/>
      </rPr>
      <t>-1</t>
    </r>
  </si>
  <si>
    <r>
      <t>TP µg L</t>
    </r>
    <r>
      <rPr>
        <vertAlign val="superscript"/>
        <sz val="10"/>
        <rFont val="Arial"/>
        <family val="2"/>
      </rPr>
      <t>-1</t>
    </r>
  </si>
  <si>
    <r>
      <t>Chlorophyl µg L</t>
    </r>
    <r>
      <rPr>
        <vertAlign val="superscript"/>
        <sz val="10"/>
        <rFont val="Arial"/>
        <family val="2"/>
      </rPr>
      <t>-1</t>
    </r>
  </si>
  <si>
    <t>1, 3, 5</t>
  </si>
  <si>
    <r>
      <t>Nitrate µg L</t>
    </r>
    <r>
      <rPr>
        <vertAlign val="superscript"/>
        <sz val="10"/>
        <rFont val="Times New Roman"/>
        <family val="1"/>
      </rPr>
      <t>-1</t>
    </r>
  </si>
  <si>
    <r>
      <t>TP µg L</t>
    </r>
    <r>
      <rPr>
        <vertAlign val="superscript"/>
        <sz val="10"/>
        <rFont val="Times New Roman"/>
        <family val="1"/>
      </rPr>
      <t>-1</t>
    </r>
  </si>
  <si>
    <r>
      <t>Chlorophyll µg L</t>
    </r>
    <r>
      <rPr>
        <vertAlign val="superscript"/>
        <sz val="10"/>
        <rFont val="Times New Roman"/>
        <family val="1"/>
      </rPr>
      <t>-1</t>
    </r>
  </si>
  <si>
    <t>Nitrate µg L-1</t>
  </si>
  <si>
    <t>TP µg L-1</t>
  </si>
  <si>
    <t>Chlorophyll µg L-1</t>
  </si>
  <si>
    <t>nd</t>
  </si>
  <si>
    <t>Cyclopoid adult &amp; copepodid</t>
  </si>
  <si>
    <t>Calanoid adult &amp; copepodid</t>
  </si>
  <si>
    <t>Epischura adult &amp; copepodid</t>
  </si>
  <si>
    <t>Chironomid larvae</t>
  </si>
  <si>
    <t>Cyclopoid adult and copepodid</t>
  </si>
  <si>
    <t>3, 4</t>
  </si>
  <si>
    <t>Source</t>
  </si>
  <si>
    <t>Howard Stiff</t>
  </si>
  <si>
    <t>Don McQueen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</si>
</sst>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[$-409]d\-mmm\-yyyy;@"/>
    <numFmt numFmtId="168" formatCode="[$-1009]d\-mmm\-yy;@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57"/>
      <name val="Arial"/>
      <family val="2"/>
    </font>
    <font>
      <vertAlign val="superscript"/>
      <sz val="10"/>
      <name val="Arial"/>
      <family val="2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theme="1"/>
      <name val="Arial"/>
      <family val="2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49">
    <xf numFmtId="0" fontId="0" fillId="0" borderId="0" xfId="0"/>
    <xf numFmtId="0" fontId="1" fillId="0" borderId="0" xfId="0" quotePrefix="1" applyFont="1"/>
    <xf numFmtId="0" fontId="1" fillId="0" borderId="0" xfId="0" quotePrefix="1" applyFont="1" applyAlignment="1">
      <alignment horizontal="left" textRotation="90"/>
    </xf>
    <xf numFmtId="0" fontId="1" fillId="0" borderId="0" xfId="0" applyFont="1" applyAlignment="1">
      <alignment horizontal="left" textRotation="90"/>
    </xf>
    <xf numFmtId="15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textRotation="90" wrapText="1"/>
    </xf>
    <xf numFmtId="0" fontId="2" fillId="2" borderId="0" xfId="0" applyFont="1" applyFill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textRotation="90"/>
    </xf>
    <xf numFmtId="0" fontId="5" fillId="0" borderId="0" xfId="0" applyFont="1" applyAlignment="1">
      <alignment horizontal="left" textRotation="90"/>
    </xf>
    <xf numFmtId="0" fontId="4" fillId="0" borderId="0" xfId="0" applyFont="1" applyAlignment="1">
      <alignment horizontal="center" textRotation="90"/>
    </xf>
    <xf numFmtId="15" fontId="6" fillId="0" borderId="0" xfId="0" applyNumberFormat="1" applyFont="1"/>
    <xf numFmtId="2" fontId="0" fillId="0" borderId="0" xfId="0" applyNumberFormat="1"/>
    <xf numFmtId="16" fontId="0" fillId="0" borderId="0" xfId="0" applyNumberFormat="1"/>
    <xf numFmtId="0" fontId="8" fillId="0" borderId="0" xfId="0" applyFont="1" applyAlignment="1">
      <alignment textRotation="90"/>
    </xf>
    <xf numFmtId="0" fontId="9" fillId="0" borderId="0" xfId="0" applyFont="1" applyAlignment="1">
      <alignment textRotation="90"/>
    </xf>
    <xf numFmtId="0" fontId="10" fillId="0" borderId="0" xfId="0" applyFont="1" applyAlignment="1">
      <alignment textRotation="90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0" fillId="3" borderId="0" xfId="0" applyFill="1" applyAlignment="1">
      <alignment textRotation="90"/>
    </xf>
    <xf numFmtId="0" fontId="9" fillId="0" borderId="0" xfId="0" applyFont="1" applyAlignment="1">
      <alignment horizontal="center" wrapText="1"/>
    </xf>
    <xf numFmtId="168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8" fontId="9" fillId="0" borderId="0" xfId="0" applyNumberFormat="1" applyFont="1" applyAlignment="1">
      <alignment horizontal="center" wrapText="1"/>
    </xf>
    <xf numFmtId="168" fontId="0" fillId="0" borderId="0" xfId="0" applyNumberFormat="1"/>
    <xf numFmtId="0" fontId="12" fillId="0" borderId="1" xfId="0" applyFont="1" applyBorder="1" applyAlignment="1">
      <alignment horizontal="center" wrapText="1"/>
    </xf>
    <xf numFmtId="168" fontId="12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right" textRotation="90"/>
    </xf>
    <xf numFmtId="0" fontId="9" fillId="0" borderId="0" xfId="0" applyFont="1" applyAlignment="1">
      <alignment horizontal="center" textRotation="90" wrapText="1"/>
    </xf>
    <xf numFmtId="0" fontId="9" fillId="0" borderId="0" xfId="0" applyFont="1" applyAlignment="1">
      <alignment textRotation="90" wrapText="1"/>
    </xf>
    <xf numFmtId="15" fontId="9" fillId="0" borderId="0" xfId="0" applyNumberFormat="1" applyFont="1"/>
    <xf numFmtId="2" fontId="14" fillId="0" borderId="0" xfId="0" applyNumberFormat="1" applyFont="1"/>
    <xf numFmtId="15" fontId="14" fillId="0" borderId="0" xfId="0" applyNumberFormat="1" applyFont="1"/>
    <xf numFmtId="0" fontId="14" fillId="0" borderId="0" xfId="0" applyFont="1" applyAlignment="1">
      <alignment textRotation="90" wrapText="1"/>
    </xf>
    <xf numFmtId="0" fontId="14" fillId="0" borderId="0" xfId="0" applyFont="1" applyAlignment="1">
      <alignment textRotation="90"/>
    </xf>
    <xf numFmtId="15" fontId="1" fillId="0" borderId="0" xfId="1" applyNumberFormat="1" applyFont="1"/>
  </cellXfs>
  <cellStyles count="2">
    <cellStyle name="Normal" xfId="0" builtinId="0"/>
    <cellStyle name="Normal 2" xfId="1" xr:uid="{CF411C9C-1DA9-431F-A2E9-22D7911A5856}"/>
  </cellStyles>
  <dxfs count="4"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GCL_NickB\Raw%20Data\6%20Zooplankton\2013\GCL%202013\Bench%20sheets\Zoo%20GCL%2013.05.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Meta Data"/>
      <sheetName val="Fraction Analyzed"/>
      <sheetName val="Bench Sheet Parts"/>
      <sheetName val="Lakes"/>
      <sheetName val="Species"/>
      <sheetName val="Sample Types"/>
      <sheetName val="MetaDataForImport"/>
      <sheetName val="Measurement Details (format)"/>
      <sheetName val="Bench Sheet (Fixed Volume)"/>
      <sheetName val="Measurement Details"/>
      <sheetName val="Old Bench Sheet"/>
    </sheetNames>
    <sheetDataSet>
      <sheetData sheetId="0" refreshError="1"/>
      <sheetData sheetId="1" refreshError="1">
        <row r="13">
          <cell r="C13">
            <v>400</v>
          </cell>
        </row>
      </sheetData>
      <sheetData sheetId="2" refreshError="1">
        <row r="1">
          <cell r="B1" t="str">
            <v>SP_CODE</v>
          </cell>
          <cell r="C1" t="str">
            <v>SP_ABBREV</v>
          </cell>
          <cell r="D1" t="str">
            <v>SP_NAME</v>
          </cell>
          <cell r="E1" t="str">
            <v>Start Volume (mL)</v>
          </cell>
          <cell r="F1" t="str">
            <v>Number of Splits</v>
          </cell>
          <cell r="G1" t="str">
            <v>Meas'd Subsample Volume (mL)</v>
          </cell>
          <cell r="H1" t="str">
            <v>No. Liters of Lake Water per mL</v>
          </cell>
          <cell r="I1" t="str">
            <v>Fraction Counted</v>
          </cell>
        </row>
        <row r="2">
          <cell r="B2" t="str">
            <v>D437</v>
          </cell>
          <cell r="C2" t="str">
            <v>D437_ROT</v>
          </cell>
          <cell r="D2" t="str">
            <v>Rotifer</v>
          </cell>
          <cell r="E2">
            <v>400</v>
          </cell>
          <cell r="F2">
            <v>0</v>
          </cell>
          <cell r="G2">
            <v>51</v>
          </cell>
          <cell r="H2">
            <v>400</v>
          </cell>
          <cell r="I2">
            <v>0.1275</v>
          </cell>
        </row>
        <row r="3">
          <cell r="B3" t="str">
            <v>D438</v>
          </cell>
          <cell r="C3" t="str">
            <v>D438_KELL</v>
          </cell>
          <cell r="D3" t="str">
            <v>Kellicottia longispina</v>
          </cell>
          <cell r="E3">
            <v>400</v>
          </cell>
          <cell r="F3">
            <v>0</v>
          </cell>
          <cell r="G3">
            <v>51</v>
          </cell>
          <cell r="H3">
            <v>400</v>
          </cell>
          <cell r="I3">
            <v>0.1275</v>
          </cell>
        </row>
        <row r="4">
          <cell r="B4" t="str">
            <v>D439</v>
          </cell>
          <cell r="C4" t="str">
            <v>D439_KERA</v>
          </cell>
          <cell r="D4" t="str">
            <v>Keratella sp.</v>
          </cell>
          <cell r="E4">
            <v>400</v>
          </cell>
          <cell r="F4">
            <v>0</v>
          </cell>
          <cell r="G4">
            <v>0</v>
          </cell>
          <cell r="H4">
            <v>400</v>
          </cell>
          <cell r="I4">
            <v>0</v>
          </cell>
        </row>
        <row r="5">
          <cell r="B5" t="str">
            <v>D440</v>
          </cell>
          <cell r="C5" t="str">
            <v>D440_NOT</v>
          </cell>
          <cell r="D5" t="str">
            <v>Notholca sp.</v>
          </cell>
          <cell r="E5">
            <v>400</v>
          </cell>
          <cell r="F5">
            <v>0</v>
          </cell>
          <cell r="G5">
            <v>0</v>
          </cell>
          <cell r="H5">
            <v>400</v>
          </cell>
          <cell r="I5">
            <v>0</v>
          </cell>
        </row>
        <row r="6">
          <cell r="B6" t="str">
            <v>D501</v>
          </cell>
          <cell r="C6" t="str">
            <v>D501_CYC_naup</v>
          </cell>
          <cell r="D6" t="str">
            <v>Cyclopoid nauplius</v>
          </cell>
          <cell r="E6">
            <v>400</v>
          </cell>
          <cell r="F6">
            <v>0</v>
          </cell>
          <cell r="G6">
            <v>51</v>
          </cell>
          <cell r="H6">
            <v>400</v>
          </cell>
          <cell r="I6">
            <v>0.1275</v>
          </cell>
        </row>
        <row r="7">
          <cell r="B7" t="str">
            <v>D505</v>
          </cell>
          <cell r="C7" t="str">
            <v>D505_CAL_naup</v>
          </cell>
          <cell r="D7" t="str">
            <v>Calanoid nauplius</v>
          </cell>
          <cell r="E7">
            <v>400</v>
          </cell>
          <cell r="F7">
            <v>0</v>
          </cell>
          <cell r="G7">
            <v>111</v>
          </cell>
          <cell r="H7">
            <v>400</v>
          </cell>
          <cell r="I7">
            <v>0.27750000000000002</v>
          </cell>
        </row>
        <row r="8">
          <cell r="B8" t="str">
            <v>D510</v>
          </cell>
          <cell r="C8" t="str">
            <v>D510_CYC_cop</v>
          </cell>
          <cell r="D8" t="str">
            <v>Cyclopoid copepodid</v>
          </cell>
          <cell r="E8">
            <v>400</v>
          </cell>
          <cell r="F8">
            <v>0</v>
          </cell>
          <cell r="G8">
            <v>36</v>
          </cell>
          <cell r="H8">
            <v>400</v>
          </cell>
          <cell r="I8">
            <v>0.09</v>
          </cell>
        </row>
        <row r="9">
          <cell r="B9" t="str">
            <v>D515</v>
          </cell>
          <cell r="C9" t="str">
            <v>D515_CAL_cop</v>
          </cell>
          <cell r="D9" t="str">
            <v>Calanoid copepodid</v>
          </cell>
          <cell r="E9">
            <v>400</v>
          </cell>
          <cell r="F9">
            <v>0</v>
          </cell>
          <cell r="G9">
            <v>0</v>
          </cell>
          <cell r="H9">
            <v>400</v>
          </cell>
          <cell r="I9">
            <v>0</v>
          </cell>
        </row>
        <row r="10">
          <cell r="B10" t="str">
            <v>D520</v>
          </cell>
          <cell r="C10" t="str">
            <v>D520_DIACYC</v>
          </cell>
          <cell r="D10" t="str">
            <v>Diacyclops thomasi</v>
          </cell>
          <cell r="E10">
            <v>400</v>
          </cell>
          <cell r="F10">
            <v>0</v>
          </cell>
          <cell r="G10">
            <v>51</v>
          </cell>
          <cell r="H10">
            <v>400</v>
          </cell>
          <cell r="I10">
            <v>0.1275</v>
          </cell>
        </row>
        <row r="11">
          <cell r="B11" t="str">
            <v>D521</v>
          </cell>
          <cell r="C11" t="str">
            <v>D521_SKISTO_oreg</v>
          </cell>
          <cell r="D11" t="str">
            <v>Skistodiaptomous oregonensis</v>
          </cell>
          <cell r="E11">
            <v>400</v>
          </cell>
          <cell r="F11">
            <v>0</v>
          </cell>
          <cell r="G11">
            <v>0</v>
          </cell>
          <cell r="H11">
            <v>400</v>
          </cell>
          <cell r="I11">
            <v>0</v>
          </cell>
        </row>
        <row r="12">
          <cell r="B12" t="str">
            <v>D522</v>
          </cell>
          <cell r="C12" t="str">
            <v>D522_HESPERO_ken</v>
          </cell>
          <cell r="D12" t="str">
            <v>Hesperodiaptomous kenai</v>
          </cell>
          <cell r="E12">
            <v>400</v>
          </cell>
          <cell r="F12">
            <v>0</v>
          </cell>
          <cell r="G12">
            <v>0</v>
          </cell>
          <cell r="H12">
            <v>400</v>
          </cell>
          <cell r="I12">
            <v>0</v>
          </cell>
        </row>
        <row r="13">
          <cell r="B13" t="str">
            <v>D525</v>
          </cell>
          <cell r="C13" t="str">
            <v>D525_CAL</v>
          </cell>
          <cell r="D13" t="str">
            <v>Calanoid</v>
          </cell>
          <cell r="E13">
            <v>400</v>
          </cell>
          <cell r="F13">
            <v>0</v>
          </cell>
          <cell r="G13">
            <v>0</v>
          </cell>
          <cell r="H13">
            <v>400</v>
          </cell>
          <cell r="I13">
            <v>0</v>
          </cell>
        </row>
        <row r="14">
          <cell r="B14" t="str">
            <v>D530</v>
          </cell>
          <cell r="C14" t="str">
            <v>D530_LEPTODIAPTOMUS</v>
          </cell>
          <cell r="D14" t="str">
            <v>Leptodiaptomus ashlandi</v>
          </cell>
          <cell r="E14">
            <v>400</v>
          </cell>
          <cell r="F14">
            <v>0</v>
          </cell>
          <cell r="G14">
            <v>400</v>
          </cell>
          <cell r="H14">
            <v>400</v>
          </cell>
          <cell r="I14">
            <v>1</v>
          </cell>
        </row>
        <row r="15">
          <cell r="B15" t="str">
            <v>D539</v>
          </cell>
          <cell r="C15" t="str">
            <v>D539_EPI_cop</v>
          </cell>
          <cell r="D15" t="str">
            <v>Epischura nevadensis copepodid</v>
          </cell>
          <cell r="E15">
            <v>400</v>
          </cell>
          <cell r="F15">
            <v>0</v>
          </cell>
          <cell r="G15">
            <v>400</v>
          </cell>
          <cell r="H15">
            <v>400</v>
          </cell>
          <cell r="I15">
            <v>1</v>
          </cell>
        </row>
        <row r="16">
          <cell r="B16" t="str">
            <v>D540</v>
          </cell>
          <cell r="C16" t="str">
            <v>D540_EPI</v>
          </cell>
          <cell r="D16" t="str">
            <v>Epischura nevadensis</v>
          </cell>
          <cell r="E16">
            <v>400</v>
          </cell>
          <cell r="F16">
            <v>0</v>
          </cell>
          <cell r="G16">
            <v>400</v>
          </cell>
          <cell r="H16">
            <v>400</v>
          </cell>
          <cell r="I16">
            <v>1</v>
          </cell>
        </row>
        <row r="17">
          <cell r="B17" t="str">
            <v>D550</v>
          </cell>
          <cell r="C17" t="str">
            <v>D550_BOS</v>
          </cell>
          <cell r="D17" t="str">
            <v>Bosmina longirostris</v>
          </cell>
          <cell r="E17">
            <v>400</v>
          </cell>
          <cell r="F17">
            <v>0</v>
          </cell>
          <cell r="G17">
            <v>111</v>
          </cell>
          <cell r="H17">
            <v>400</v>
          </cell>
          <cell r="I17">
            <v>0.27750000000000002</v>
          </cell>
        </row>
        <row r="18">
          <cell r="B18" t="str">
            <v>D559</v>
          </cell>
          <cell r="C18" t="str">
            <v>D559_DAPHNIA</v>
          </cell>
          <cell r="D18" t="str">
            <v>Daphnia sp.</v>
          </cell>
          <cell r="E18">
            <v>400</v>
          </cell>
          <cell r="F18">
            <v>0</v>
          </cell>
          <cell r="G18">
            <v>0</v>
          </cell>
          <cell r="H18">
            <v>400</v>
          </cell>
          <cell r="I18">
            <v>0</v>
          </cell>
        </row>
        <row r="19">
          <cell r="B19" t="str">
            <v>D560</v>
          </cell>
          <cell r="C19" t="str">
            <v>D560_DAPH_thor</v>
          </cell>
          <cell r="D19" t="str">
            <v>Daphnia thorata</v>
          </cell>
          <cell r="E19">
            <v>400</v>
          </cell>
          <cell r="F19">
            <v>0</v>
          </cell>
          <cell r="G19">
            <v>400</v>
          </cell>
          <cell r="H19">
            <v>400</v>
          </cell>
          <cell r="I19">
            <v>1</v>
          </cell>
        </row>
        <row r="20">
          <cell r="B20" t="str">
            <v>D561</v>
          </cell>
          <cell r="C20" t="str">
            <v>D561_DAPH_pulx</v>
          </cell>
          <cell r="D20" t="str">
            <v>Daphnia pulex</v>
          </cell>
          <cell r="E20">
            <v>400</v>
          </cell>
          <cell r="F20">
            <v>0</v>
          </cell>
          <cell r="G20">
            <v>0</v>
          </cell>
          <cell r="H20">
            <v>400</v>
          </cell>
          <cell r="I20">
            <v>0</v>
          </cell>
        </row>
        <row r="21">
          <cell r="B21" t="str">
            <v>D562</v>
          </cell>
          <cell r="C21" t="str">
            <v>D562_DAPH_retro</v>
          </cell>
          <cell r="D21" t="str">
            <v>Daphnia retrocurva</v>
          </cell>
          <cell r="E21">
            <v>400</v>
          </cell>
          <cell r="F21">
            <v>0</v>
          </cell>
          <cell r="G21">
            <v>0</v>
          </cell>
          <cell r="H21">
            <v>400</v>
          </cell>
          <cell r="I21">
            <v>0</v>
          </cell>
        </row>
        <row r="22">
          <cell r="B22" t="str">
            <v>D569</v>
          </cell>
          <cell r="C22" t="str">
            <v>D569_LEPTODORA</v>
          </cell>
          <cell r="D22" t="str">
            <v>Leptodora kindtii</v>
          </cell>
          <cell r="E22">
            <v>400</v>
          </cell>
          <cell r="F22">
            <v>0</v>
          </cell>
          <cell r="G22">
            <v>0</v>
          </cell>
          <cell r="H22">
            <v>400</v>
          </cell>
          <cell r="I22">
            <v>0</v>
          </cell>
        </row>
        <row r="23">
          <cell r="B23" t="str">
            <v>D570</v>
          </cell>
          <cell r="C23" t="str">
            <v>D570_HOLO</v>
          </cell>
          <cell r="D23" t="str">
            <v>Holopedium gibberum</v>
          </cell>
          <cell r="E23">
            <v>400</v>
          </cell>
          <cell r="F23">
            <v>0</v>
          </cell>
          <cell r="G23">
            <v>400</v>
          </cell>
          <cell r="H23">
            <v>400</v>
          </cell>
          <cell r="I23">
            <v>1</v>
          </cell>
        </row>
        <row r="24">
          <cell r="B24" t="str">
            <v>D571</v>
          </cell>
          <cell r="C24" t="str">
            <v>D571_POLY</v>
          </cell>
          <cell r="D24" t="str">
            <v>Polyphemus pediculus</v>
          </cell>
          <cell r="E24">
            <v>400</v>
          </cell>
          <cell r="F24">
            <v>0</v>
          </cell>
          <cell r="G24">
            <v>0</v>
          </cell>
          <cell r="H24">
            <v>400</v>
          </cell>
          <cell r="I24">
            <v>0</v>
          </cell>
        </row>
        <row r="25">
          <cell r="B25" t="str">
            <v>D577</v>
          </cell>
          <cell r="C25" t="str">
            <v>D577_DIAPHANOSOMA</v>
          </cell>
          <cell r="D25" t="str">
            <v>Diaphanosoma leuchtenbergianum</v>
          </cell>
          <cell r="E25">
            <v>400</v>
          </cell>
          <cell r="F25">
            <v>0</v>
          </cell>
          <cell r="G25">
            <v>0</v>
          </cell>
          <cell r="H25">
            <v>400</v>
          </cell>
          <cell r="I25">
            <v>0</v>
          </cell>
        </row>
        <row r="26">
          <cell r="B26" t="str">
            <v>D599</v>
          </cell>
          <cell r="C26" t="str">
            <v>D599_CHIRO</v>
          </cell>
          <cell r="D26" t="str">
            <v>Chironomid larva</v>
          </cell>
          <cell r="E26">
            <v>400</v>
          </cell>
          <cell r="F26">
            <v>0</v>
          </cell>
          <cell r="G26">
            <v>0</v>
          </cell>
          <cell r="H26">
            <v>400</v>
          </cell>
          <cell r="I26">
            <v>0</v>
          </cell>
        </row>
        <row r="27">
          <cell r="B27" t="str">
            <v>E620</v>
          </cell>
          <cell r="C27" t="str">
            <v>E620_CYC</v>
          </cell>
          <cell r="D27" t="str">
            <v>Cyclops egg</v>
          </cell>
          <cell r="E27">
            <v>400</v>
          </cell>
          <cell r="F27">
            <v>0</v>
          </cell>
          <cell r="G27">
            <v>111</v>
          </cell>
          <cell r="H27">
            <v>400</v>
          </cell>
          <cell r="I27">
            <v>0.27750000000000002</v>
          </cell>
        </row>
        <row r="28">
          <cell r="B28" t="str">
            <v>E630</v>
          </cell>
          <cell r="C28" t="str">
            <v>E630_CAL</v>
          </cell>
          <cell r="D28" t="str">
            <v>Calanoid egg</v>
          </cell>
          <cell r="E28">
            <v>400</v>
          </cell>
          <cell r="F28">
            <v>0</v>
          </cell>
          <cell r="G28">
            <v>0</v>
          </cell>
          <cell r="H28">
            <v>400</v>
          </cell>
          <cell r="I28">
            <v>0</v>
          </cell>
        </row>
        <row r="29">
          <cell r="B29" t="str">
            <v>E650</v>
          </cell>
          <cell r="C29" t="str">
            <v>E650_BOS</v>
          </cell>
          <cell r="D29" t="str">
            <v>Bosmina egg</v>
          </cell>
          <cell r="E29">
            <v>400</v>
          </cell>
          <cell r="F29">
            <v>0</v>
          </cell>
          <cell r="G29">
            <v>111</v>
          </cell>
          <cell r="H29">
            <v>400</v>
          </cell>
          <cell r="I29">
            <v>0.27750000000000002</v>
          </cell>
        </row>
        <row r="30">
          <cell r="B30" t="str">
            <v>E659</v>
          </cell>
          <cell r="C30" t="str">
            <v>E659_DAPHNIA</v>
          </cell>
          <cell r="D30" t="str">
            <v>Daphnia egg</v>
          </cell>
          <cell r="E30">
            <v>400</v>
          </cell>
          <cell r="F30">
            <v>0</v>
          </cell>
          <cell r="G30">
            <v>0</v>
          </cell>
          <cell r="H30">
            <v>400</v>
          </cell>
          <cell r="I30">
            <v>0</v>
          </cell>
        </row>
        <row r="31">
          <cell r="B31" t="str">
            <v>E677</v>
          </cell>
          <cell r="C31" t="str">
            <v>E677_DIAPHANOSOMA</v>
          </cell>
          <cell r="D31" t="str">
            <v>Diaphanosoma egg</v>
          </cell>
          <cell r="E31">
            <v>400</v>
          </cell>
          <cell r="F31">
            <v>0</v>
          </cell>
          <cell r="G31">
            <v>0</v>
          </cell>
          <cell r="H31">
            <v>400</v>
          </cell>
          <cell r="I31">
            <v>0</v>
          </cell>
        </row>
        <row r="32">
          <cell r="B32" t="str">
            <v>W001</v>
          </cell>
          <cell r="C32" t="str">
            <v>W001_CYC</v>
          </cell>
          <cell r="D32" t="str">
            <v>Cyclops sp.</v>
          </cell>
          <cell r="H32" t="str">
            <v/>
          </cell>
          <cell r="I32" t="str">
            <v/>
          </cell>
        </row>
        <row r="33">
          <cell r="B33" t="str">
            <v>W002</v>
          </cell>
          <cell r="C33" t="str">
            <v>W002_CAL</v>
          </cell>
          <cell r="D33" t="str">
            <v>Calanoid copepod</v>
          </cell>
          <cell r="H33" t="str">
            <v/>
          </cell>
          <cell r="I33" t="str">
            <v/>
          </cell>
        </row>
        <row r="34">
          <cell r="B34" t="str">
            <v>W003</v>
          </cell>
          <cell r="C34" t="str">
            <v>W003_NAU</v>
          </cell>
          <cell r="D34" t="str">
            <v>Nauplius</v>
          </cell>
          <cell r="H34" t="str">
            <v/>
          </cell>
          <cell r="I34" t="str">
            <v/>
          </cell>
        </row>
        <row r="35">
          <cell r="B35" t="str">
            <v>W020</v>
          </cell>
          <cell r="C35" t="str">
            <v>W020_EPI</v>
          </cell>
          <cell r="D35" t="str">
            <v>Epischura nevadensis</v>
          </cell>
          <cell r="H35" t="str">
            <v/>
          </cell>
          <cell r="I35" t="str">
            <v/>
          </cell>
        </row>
        <row r="36">
          <cell r="B36" t="str">
            <v>W040</v>
          </cell>
          <cell r="C36" t="str">
            <v>W040_DIAPTOMUS</v>
          </cell>
          <cell r="D36" t="str">
            <v>Diaptomus sp.</v>
          </cell>
          <cell r="H36" t="str">
            <v/>
          </cell>
          <cell r="I36" t="str">
            <v/>
          </cell>
        </row>
        <row r="37">
          <cell r="B37" t="str">
            <v>W090</v>
          </cell>
          <cell r="C37" t="str">
            <v>W090_LEPT</v>
          </cell>
          <cell r="D37" t="str">
            <v>Leptodora kindtii</v>
          </cell>
          <cell r="H37" t="str">
            <v/>
          </cell>
          <cell r="I37" t="str">
            <v/>
          </cell>
        </row>
        <row r="38">
          <cell r="B38" t="str">
            <v>W100</v>
          </cell>
          <cell r="C38" t="str">
            <v>W100_BOS</v>
          </cell>
          <cell r="D38" t="str">
            <v>Bosmina longispina</v>
          </cell>
          <cell r="H38" t="str">
            <v/>
          </cell>
          <cell r="I38" t="str">
            <v/>
          </cell>
        </row>
        <row r="39">
          <cell r="B39" t="str">
            <v>W101</v>
          </cell>
          <cell r="C39" t="str">
            <v>W101_BOS_long</v>
          </cell>
          <cell r="D39" t="str">
            <v>Bosmina longirostris</v>
          </cell>
          <cell r="H39" t="str">
            <v/>
          </cell>
          <cell r="I39" t="str">
            <v/>
          </cell>
        </row>
        <row r="40">
          <cell r="B40" t="str">
            <v>W102</v>
          </cell>
          <cell r="C40" t="str">
            <v>W102_BOS_core</v>
          </cell>
          <cell r="D40" t="str">
            <v>Bosmina coregoni</v>
          </cell>
          <cell r="H40" t="str">
            <v/>
          </cell>
          <cell r="I40" t="str">
            <v/>
          </cell>
        </row>
        <row r="41">
          <cell r="B41" t="str">
            <v>W110</v>
          </cell>
          <cell r="C41" t="str">
            <v>W110_HOLO</v>
          </cell>
          <cell r="D41" t="str">
            <v>Holpedium gibberum</v>
          </cell>
          <cell r="H41" t="str">
            <v/>
          </cell>
          <cell r="I41" t="str">
            <v/>
          </cell>
        </row>
        <row r="42">
          <cell r="B42" t="str">
            <v>W125</v>
          </cell>
          <cell r="C42" t="str">
            <v>W125_DAPHNIA</v>
          </cell>
          <cell r="D42" t="str">
            <v>Daphnia sp.</v>
          </cell>
          <cell r="H42" t="str">
            <v/>
          </cell>
          <cell r="I42" t="str">
            <v/>
          </cell>
        </row>
        <row r="43">
          <cell r="B43" t="str">
            <v>W126</v>
          </cell>
          <cell r="C43" t="str">
            <v>W126_DAPH_long</v>
          </cell>
          <cell r="D43" t="str">
            <v>Daphnia longiremis</v>
          </cell>
          <cell r="H43" t="str">
            <v/>
          </cell>
          <cell r="I43" t="str">
            <v/>
          </cell>
        </row>
        <row r="44">
          <cell r="B44" t="str">
            <v>W127</v>
          </cell>
          <cell r="C44" t="str">
            <v>W127_DAPH_pulx</v>
          </cell>
          <cell r="D44" t="str">
            <v>Daphnia pulex</v>
          </cell>
          <cell r="H44" t="str">
            <v/>
          </cell>
          <cell r="I44" t="str">
            <v/>
          </cell>
        </row>
        <row r="45">
          <cell r="B45" t="str">
            <v>W128</v>
          </cell>
          <cell r="C45" t="str">
            <v>W128_DAPH_scho</v>
          </cell>
          <cell r="D45" t="str">
            <v>Daphnia schoedleri</v>
          </cell>
          <cell r="H45" t="str">
            <v/>
          </cell>
          <cell r="I45" t="str">
            <v/>
          </cell>
        </row>
        <row r="46">
          <cell r="B46" t="str">
            <v>W129</v>
          </cell>
          <cell r="C46" t="str">
            <v>W129_DAPH_thor</v>
          </cell>
          <cell r="D46" t="str">
            <v>Daphnia thorata</v>
          </cell>
          <cell r="H46" t="str">
            <v/>
          </cell>
          <cell r="I46" t="str">
            <v/>
          </cell>
        </row>
        <row r="47">
          <cell r="B47" t="str">
            <v>W130</v>
          </cell>
          <cell r="C47" t="str">
            <v>W130_POLY</v>
          </cell>
          <cell r="D47" t="str">
            <v>Polyphemus pediculus</v>
          </cell>
          <cell r="H47" t="str">
            <v/>
          </cell>
          <cell r="I47" t="str">
            <v/>
          </cell>
        </row>
        <row r="48">
          <cell r="B48" t="str">
            <v>W141</v>
          </cell>
          <cell r="C48" t="str">
            <v>W141_CHYD</v>
          </cell>
          <cell r="D48" t="str">
            <v>Chydorid sp.</v>
          </cell>
          <cell r="H48" t="str">
            <v/>
          </cell>
          <cell r="I48" t="str">
            <v/>
          </cell>
        </row>
        <row r="49">
          <cell r="B49" t="str">
            <v>W150</v>
          </cell>
          <cell r="C49" t="str">
            <v>W150_SCAPH</v>
          </cell>
          <cell r="D49" t="str">
            <v>Scapholebris kingi</v>
          </cell>
          <cell r="H49" t="str">
            <v/>
          </cell>
          <cell r="I49" t="str">
            <v/>
          </cell>
        </row>
        <row r="50">
          <cell r="B50" t="str">
            <v>W160</v>
          </cell>
          <cell r="C50" t="str">
            <v>W160_ALONA</v>
          </cell>
          <cell r="D50" t="str">
            <v>Alona sp.</v>
          </cell>
          <cell r="H50" t="str">
            <v/>
          </cell>
          <cell r="I50" t="str">
            <v/>
          </cell>
        </row>
        <row r="51">
          <cell r="B51" t="str">
            <v>W170</v>
          </cell>
          <cell r="C51" t="str">
            <v>W170_SIDA</v>
          </cell>
          <cell r="D51" t="str">
            <v>Sida sp.</v>
          </cell>
          <cell r="H51" t="str">
            <v/>
          </cell>
          <cell r="I51" t="str">
            <v/>
          </cell>
        </row>
        <row r="52">
          <cell r="B52" t="str">
            <v>W177</v>
          </cell>
          <cell r="C52" t="str">
            <v>W177_DIAPHANOSOMA</v>
          </cell>
          <cell r="D52" t="str">
            <v>Diaphanosoma leuchtenbergianum</v>
          </cell>
          <cell r="H52" t="str">
            <v/>
          </cell>
          <cell r="I52" t="str">
            <v/>
          </cell>
        </row>
        <row r="53">
          <cell r="B53" t="str">
            <v>W180</v>
          </cell>
          <cell r="C53" t="str">
            <v>W180_CERIO</v>
          </cell>
          <cell r="D53" t="str">
            <v>Ceriodaphnia sp.</v>
          </cell>
          <cell r="H53" t="str">
            <v/>
          </cell>
          <cell r="I53" t="str">
            <v/>
          </cell>
        </row>
        <row r="54">
          <cell r="B54" t="str">
            <v>W237</v>
          </cell>
          <cell r="C54" t="str">
            <v>W237_ROT</v>
          </cell>
          <cell r="D54" t="str">
            <v>Rotifer</v>
          </cell>
          <cell r="H54" t="str">
            <v/>
          </cell>
          <cell r="I54" t="str">
            <v/>
          </cell>
        </row>
        <row r="55">
          <cell r="B55" t="str">
            <v>W238</v>
          </cell>
          <cell r="C55" t="str">
            <v>W238_KELL</v>
          </cell>
          <cell r="D55" t="str">
            <v>Kellicottia longispina</v>
          </cell>
          <cell r="H55" t="str">
            <v/>
          </cell>
          <cell r="I55" t="str">
            <v/>
          </cell>
        </row>
        <row r="56">
          <cell r="B56" t="str">
            <v>W239</v>
          </cell>
          <cell r="C56" t="str">
            <v>W239_KERA</v>
          </cell>
          <cell r="D56" t="str">
            <v>Keratella sp.</v>
          </cell>
          <cell r="H56" t="str">
            <v/>
          </cell>
          <cell r="I56" t="str">
            <v/>
          </cell>
        </row>
        <row r="57">
          <cell r="B57" t="str">
            <v>W422</v>
          </cell>
          <cell r="C57" t="str">
            <v>W422_MYSID</v>
          </cell>
          <cell r="D57" t="str">
            <v>Mysidacea</v>
          </cell>
          <cell r="H57" t="str">
            <v/>
          </cell>
          <cell r="I57" t="str">
            <v/>
          </cell>
        </row>
        <row r="58">
          <cell r="B58" t="str">
            <v>W900</v>
          </cell>
          <cell r="C58" t="str">
            <v>W900_CHIRO</v>
          </cell>
          <cell r="D58" t="str">
            <v>Chironomid larva</v>
          </cell>
          <cell r="H58" t="str">
            <v/>
          </cell>
          <cell r="I58" t="str">
            <v/>
          </cell>
        </row>
        <row r="59">
          <cell r="B59" t="str">
            <v>W901</v>
          </cell>
          <cell r="C59" t="str">
            <v>W901_CHAO</v>
          </cell>
          <cell r="D59" t="str">
            <v>Chaoborus larva</v>
          </cell>
          <cell r="H59" t="str">
            <v/>
          </cell>
          <cell r="I59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workbookViewId="0">
      <pane ySplit="1" topLeftCell="A17" activePane="bottomLeft" state="frozen"/>
      <selection pane="bottomLeft" activeCell="I28" sqref="I28"/>
    </sheetView>
  </sheetViews>
  <sheetFormatPr defaultRowHeight="15" x14ac:dyDescent="0.25"/>
  <cols>
    <col min="1" max="1" width="9.28515625" bestFit="1" customWidth="1"/>
  </cols>
  <sheetData>
    <row r="1" spans="1:17" ht="83.25" x14ac:dyDescent="0.25">
      <c r="A1" s="1" t="s">
        <v>0</v>
      </c>
      <c r="B1" s="1" t="s">
        <v>1</v>
      </c>
      <c r="C1" s="40" t="s">
        <v>7</v>
      </c>
      <c r="D1" s="41" t="s">
        <v>109</v>
      </c>
      <c r="E1" s="41" t="s">
        <v>110</v>
      </c>
      <c r="F1" s="42" t="s">
        <v>111</v>
      </c>
      <c r="G1" s="40" t="s">
        <v>8</v>
      </c>
      <c r="H1" s="40" t="s">
        <v>9</v>
      </c>
      <c r="I1" s="40" t="s">
        <v>10</v>
      </c>
      <c r="J1" s="40" t="s">
        <v>13</v>
      </c>
      <c r="K1" s="40" t="s">
        <v>112</v>
      </c>
      <c r="L1" s="40" t="s">
        <v>18</v>
      </c>
      <c r="M1" s="2" t="s">
        <v>2</v>
      </c>
      <c r="N1" s="2" t="s">
        <v>115</v>
      </c>
      <c r="O1" s="2"/>
      <c r="P1" s="2"/>
      <c r="Q1" s="3"/>
    </row>
    <row r="2" spans="1:17" x14ac:dyDescent="0.25">
      <c r="A2" s="43">
        <v>39573</v>
      </c>
      <c r="B2" t="s">
        <v>114</v>
      </c>
      <c r="C2" s="44">
        <v>1.8880000422000893</v>
      </c>
      <c r="D2" s="44">
        <v>6.2560001398325005</v>
      </c>
      <c r="E2" s="44">
        <v>3.6480000000000005E-2</v>
      </c>
      <c r="F2" s="44">
        <v>2.6399999999999996E-3</v>
      </c>
      <c r="G2" s="44">
        <v>3.7028570362662008E-2</v>
      </c>
      <c r="H2" s="44">
        <v>5.1636363872811814E-2</v>
      </c>
      <c r="I2" s="44">
        <v>2.96E-3</v>
      </c>
      <c r="J2" s="44">
        <v>0</v>
      </c>
      <c r="K2" s="44">
        <v>2.3999999999999998E-4</v>
      </c>
      <c r="L2" s="44">
        <v>0.9720000217258935</v>
      </c>
      <c r="M2" t="s">
        <v>4</v>
      </c>
      <c r="N2" t="s">
        <v>116</v>
      </c>
    </row>
    <row r="3" spans="1:17" x14ac:dyDescent="0.25">
      <c r="A3" s="43">
        <v>39608</v>
      </c>
      <c r="B3" t="s">
        <v>114</v>
      </c>
      <c r="C3" s="44">
        <v>0.17645714115220676</v>
      </c>
      <c r="D3" s="44">
        <v>1.7600000393390665</v>
      </c>
      <c r="E3" s="44">
        <v>2.6331429213699048E-2</v>
      </c>
      <c r="F3" s="44">
        <v>1.3462857428310689E-2</v>
      </c>
      <c r="G3" s="44">
        <v>0.260571432571022</v>
      </c>
      <c r="H3" s="44">
        <v>1.8636190928158592E-2</v>
      </c>
      <c r="I3" s="44">
        <v>6.0800000000000003E-3</v>
      </c>
      <c r="J3" s="44">
        <v>0</v>
      </c>
      <c r="K3" s="44">
        <v>1.6000000000000001E-4</v>
      </c>
      <c r="L3" s="44">
        <v>0.83200001859664963</v>
      </c>
      <c r="M3" t="s">
        <v>4</v>
      </c>
      <c r="N3" t="s">
        <v>116</v>
      </c>
    </row>
    <row r="4" spans="1:17" x14ac:dyDescent="0.25">
      <c r="A4" s="43">
        <v>39646</v>
      </c>
      <c r="B4" t="s">
        <v>114</v>
      </c>
      <c r="C4" s="44">
        <v>0.5631999916076661</v>
      </c>
      <c r="D4" s="44">
        <v>1.0879999953678676</v>
      </c>
      <c r="E4" s="44">
        <v>2.4320000000000001E-2</v>
      </c>
      <c r="F4" s="44">
        <v>2E-3</v>
      </c>
      <c r="G4" s="44">
        <v>7.0400001573562658</v>
      </c>
      <c r="H4" s="44">
        <v>0.81980953507845133</v>
      </c>
      <c r="I4" s="44">
        <v>2.1759999999999998E-2</v>
      </c>
      <c r="J4" s="44">
        <v>0</v>
      </c>
      <c r="K4" s="44">
        <v>4.7999999999999996E-4</v>
      </c>
      <c r="L4" s="44">
        <v>0.85333335240682007</v>
      </c>
      <c r="M4" t="s">
        <v>4</v>
      </c>
      <c r="N4" t="s">
        <v>116</v>
      </c>
    </row>
    <row r="5" spans="1:17" x14ac:dyDescent="0.25">
      <c r="A5" s="43">
        <v>39680</v>
      </c>
      <c r="B5" t="s">
        <v>114</v>
      </c>
      <c r="C5" s="44">
        <v>0.22080000207424175</v>
      </c>
      <c r="D5" s="44">
        <v>0.66742857965644542</v>
      </c>
      <c r="E5" s="44">
        <v>0.15424000469501217</v>
      </c>
      <c r="F5" s="44">
        <v>6.4000000000000005E-4</v>
      </c>
      <c r="G5" s="44">
        <v>1.9040000425577173</v>
      </c>
      <c r="H5" s="44">
        <v>0.15015384931395051</v>
      </c>
      <c r="I5" s="44">
        <v>1.9987692759135787E-2</v>
      </c>
      <c r="J5" s="44">
        <v>9.5999999999999992E-4</v>
      </c>
      <c r="K5" s="44">
        <v>0</v>
      </c>
      <c r="L5" s="44">
        <v>0.12800000226497657</v>
      </c>
      <c r="M5" t="s">
        <v>4</v>
      </c>
      <c r="N5" t="s">
        <v>116</v>
      </c>
    </row>
    <row r="6" spans="1:17" x14ac:dyDescent="0.25">
      <c r="A6" s="43">
        <v>39708</v>
      </c>
      <c r="B6" t="s">
        <v>114</v>
      </c>
      <c r="C6" s="44">
        <v>0.37759999437332159</v>
      </c>
      <c r="D6" s="44">
        <v>0.4057142876058209</v>
      </c>
      <c r="E6" s="44">
        <v>0.61257142596342118</v>
      </c>
      <c r="F6" s="44">
        <v>6.4000000000000005E-4</v>
      </c>
      <c r="G6" s="44">
        <v>2.080000046491624</v>
      </c>
      <c r="H6" s="44">
        <v>0.16523636238594688</v>
      </c>
      <c r="I6" s="44">
        <v>6.1759999260902421E-2</v>
      </c>
      <c r="J6" s="44">
        <v>6.1400000239908714E-2</v>
      </c>
      <c r="K6" s="44">
        <v>0</v>
      </c>
      <c r="L6" s="44">
        <v>0.11428571379914575</v>
      </c>
      <c r="M6" t="s">
        <v>4</v>
      </c>
      <c r="N6" t="s">
        <v>116</v>
      </c>
    </row>
    <row r="7" spans="1:17" x14ac:dyDescent="0.25">
      <c r="A7" s="43">
        <v>39744</v>
      </c>
      <c r="B7" t="s">
        <v>114</v>
      </c>
      <c r="C7" s="44">
        <v>1.0880000243186958</v>
      </c>
      <c r="D7" s="44">
        <v>0.29333333988984439</v>
      </c>
      <c r="E7" s="44">
        <v>0.18057143039768253</v>
      </c>
      <c r="F7" s="44">
        <v>0</v>
      </c>
      <c r="G7" s="44">
        <v>2.6560000593662276</v>
      </c>
      <c r="H7" s="44">
        <v>0.1250476224373461</v>
      </c>
      <c r="I7" s="44">
        <v>0.16266666917489464</v>
      </c>
      <c r="J7" s="44">
        <v>7.0915753250768085E-2</v>
      </c>
      <c r="K7" s="44">
        <v>0</v>
      </c>
      <c r="L7" s="44">
        <v>0.48000001072883636</v>
      </c>
      <c r="M7" t="s">
        <v>4</v>
      </c>
      <c r="N7" t="s">
        <v>116</v>
      </c>
    </row>
    <row r="8" spans="1:17" x14ac:dyDescent="0.25">
      <c r="A8" s="43">
        <v>39573</v>
      </c>
      <c r="B8" t="s">
        <v>114</v>
      </c>
      <c r="C8" s="44">
        <v>0.33132069735453445</v>
      </c>
      <c r="D8" s="44">
        <v>11.396653070210998</v>
      </c>
      <c r="E8" s="44">
        <v>0.37856578288195752</v>
      </c>
      <c r="F8" s="44">
        <v>1.3284962813308654E-2</v>
      </c>
      <c r="G8" s="44">
        <v>0.11327973079172039</v>
      </c>
      <c r="H8" s="44">
        <v>7.5141975752629445E-2</v>
      </c>
      <c r="I8" s="44">
        <v>1.476758788180303E-2</v>
      </c>
      <c r="J8" s="44">
        <v>0</v>
      </c>
      <c r="K8" s="44">
        <v>6.1342912693651717E-3</v>
      </c>
      <c r="L8" s="44">
        <v>3.3379360999557142E-2</v>
      </c>
      <c r="M8" t="s">
        <v>3</v>
      </c>
      <c r="N8" t="s">
        <v>116</v>
      </c>
    </row>
    <row r="9" spans="1:17" x14ac:dyDescent="0.25">
      <c r="A9" s="43">
        <v>39608</v>
      </c>
      <c r="B9" t="s">
        <v>114</v>
      </c>
      <c r="C9" s="44">
        <v>2.2858916757002658E-2</v>
      </c>
      <c r="D9" s="44">
        <v>4.9279416260566169</v>
      </c>
      <c r="E9" s="44">
        <v>0.18811505520461111</v>
      </c>
      <c r="F9" s="44">
        <v>0.15518457255341778</v>
      </c>
      <c r="G9" s="44">
        <v>0.13278342106641547</v>
      </c>
      <c r="H9" s="44">
        <v>3.7984263343387434E-2</v>
      </c>
      <c r="I9" s="44">
        <v>3.6042836650514436E-2</v>
      </c>
      <c r="J9" s="44">
        <v>0</v>
      </c>
      <c r="K9" s="44">
        <v>7.8324249315668403E-3</v>
      </c>
      <c r="L9" s="44">
        <v>2.2959679067723726E-2</v>
      </c>
      <c r="M9" t="s">
        <v>3</v>
      </c>
      <c r="N9" t="s">
        <v>116</v>
      </c>
    </row>
    <row r="10" spans="1:17" x14ac:dyDescent="0.25">
      <c r="A10" s="43">
        <v>39646</v>
      </c>
      <c r="B10" t="s">
        <v>114</v>
      </c>
      <c r="C10" s="44">
        <v>6.4199358957980429E-2</v>
      </c>
      <c r="D10" s="44">
        <v>3.364124251766706</v>
      </c>
      <c r="E10" s="44">
        <v>0.21947476218060769</v>
      </c>
      <c r="F10" s="44">
        <v>4.2934731439291655E-2</v>
      </c>
      <c r="G10" s="44">
        <v>11.036617563955291</v>
      </c>
      <c r="H10" s="44">
        <v>1.9169636207130818</v>
      </c>
      <c r="I10" s="44">
        <v>0.1139836406144218</v>
      </c>
      <c r="J10" s="44">
        <v>0</v>
      </c>
      <c r="K10" s="44">
        <v>3.9098532287239689E-2</v>
      </c>
      <c r="L10" s="44">
        <v>1.4249502337021007E-2</v>
      </c>
      <c r="M10" t="s">
        <v>3</v>
      </c>
      <c r="N10" t="s">
        <v>116</v>
      </c>
    </row>
    <row r="11" spans="1:17" x14ac:dyDescent="0.25">
      <c r="A11" s="43">
        <v>39680</v>
      </c>
      <c r="B11" t="s">
        <v>114</v>
      </c>
      <c r="C11" s="44">
        <v>2.0470164831635235E-2</v>
      </c>
      <c r="D11" s="44">
        <v>2.3004394883509613</v>
      </c>
      <c r="E11" s="44">
        <v>0.38910356982577288</v>
      </c>
      <c r="F11" s="44">
        <v>1.781822701592415E-2</v>
      </c>
      <c r="G11" s="44">
        <v>0.9521364042380458</v>
      </c>
      <c r="H11" s="44">
        <v>0.64963797528915634</v>
      </c>
      <c r="I11" s="44">
        <v>0.11351249335757595</v>
      </c>
      <c r="J11" s="44">
        <v>3.2282476713387299E-3</v>
      </c>
      <c r="K11" s="44">
        <v>0</v>
      </c>
      <c r="L11" s="44">
        <v>2.2131733912348129E-3</v>
      </c>
      <c r="M11" t="s">
        <v>3</v>
      </c>
      <c r="N11" t="s">
        <v>116</v>
      </c>
    </row>
    <row r="12" spans="1:17" x14ac:dyDescent="0.25">
      <c r="A12" s="43">
        <v>39708</v>
      </c>
      <c r="B12" t="s">
        <v>114</v>
      </c>
      <c r="C12" s="44">
        <v>5.4922291069427462E-2</v>
      </c>
      <c r="D12" s="44">
        <v>1.4303752104848095</v>
      </c>
      <c r="E12" s="44">
        <v>2.5173366322484516</v>
      </c>
      <c r="F12" s="44">
        <v>1.9928596732779174E-2</v>
      </c>
      <c r="G12" s="44">
        <v>1.7114277676411322</v>
      </c>
      <c r="H12" s="44">
        <v>0.82361020848375588</v>
      </c>
      <c r="I12" s="44">
        <v>0.25929737176476358</v>
      </c>
      <c r="J12" s="44">
        <v>0.14621989664796731</v>
      </c>
      <c r="K12" s="44">
        <v>0</v>
      </c>
      <c r="L12" s="44">
        <v>1.8850876474893741E-3</v>
      </c>
      <c r="M12" t="s">
        <v>3</v>
      </c>
      <c r="N12" t="s">
        <v>116</v>
      </c>
    </row>
    <row r="13" spans="1:17" x14ac:dyDescent="0.25">
      <c r="A13" s="43">
        <v>39744</v>
      </c>
      <c r="B13" t="s">
        <v>114</v>
      </c>
      <c r="C13" s="44">
        <v>9.072694990411545E-2</v>
      </c>
      <c r="D13" s="44">
        <v>0.96090861982221987</v>
      </c>
      <c r="E13" s="44">
        <v>1.3918250117476216</v>
      </c>
      <c r="F13" s="44">
        <v>0</v>
      </c>
      <c r="G13" s="44">
        <v>2.3833122797356667</v>
      </c>
      <c r="H13" s="44">
        <v>0.73127631254422787</v>
      </c>
      <c r="I13" s="44">
        <v>0.56934911020451684</v>
      </c>
      <c r="J13" s="44">
        <v>0.26677253021261049</v>
      </c>
      <c r="K13" s="44">
        <v>0</v>
      </c>
      <c r="L13" s="44">
        <v>7.0828494338121845E-3</v>
      </c>
      <c r="M13" t="s">
        <v>3</v>
      </c>
      <c r="N13" t="s">
        <v>116</v>
      </c>
    </row>
    <row r="14" spans="1:17" x14ac:dyDescent="0.25">
      <c r="A14" s="48">
        <v>39573</v>
      </c>
      <c r="B14" t="s">
        <v>114</v>
      </c>
      <c r="C14">
        <v>1888</v>
      </c>
      <c r="D14">
        <v>6256</v>
      </c>
      <c r="E14">
        <v>36.479999999999997</v>
      </c>
      <c r="F14">
        <v>2.64</v>
      </c>
      <c r="G14">
        <v>37.03</v>
      </c>
      <c r="H14">
        <v>51.64</v>
      </c>
      <c r="I14">
        <v>2.96</v>
      </c>
      <c r="K14">
        <v>0.24</v>
      </c>
      <c r="L14">
        <v>972</v>
      </c>
      <c r="M14" t="s">
        <v>4</v>
      </c>
      <c r="N14" t="s">
        <v>117</v>
      </c>
    </row>
    <row r="15" spans="1:17" x14ac:dyDescent="0.25">
      <c r="A15" s="48">
        <v>39608</v>
      </c>
      <c r="B15" t="s">
        <v>114</v>
      </c>
      <c r="C15">
        <v>176.46</v>
      </c>
      <c r="D15">
        <v>1760</v>
      </c>
      <c r="E15">
        <v>26.33</v>
      </c>
      <c r="F15">
        <v>13.46</v>
      </c>
      <c r="G15">
        <v>260.57</v>
      </c>
      <c r="H15">
        <v>18.64</v>
      </c>
      <c r="I15">
        <v>6.08</v>
      </c>
      <c r="K15">
        <v>0.16</v>
      </c>
      <c r="L15">
        <v>832</v>
      </c>
      <c r="M15" t="s">
        <v>4</v>
      </c>
      <c r="N15" t="s">
        <v>117</v>
      </c>
    </row>
    <row r="16" spans="1:17" x14ac:dyDescent="0.25">
      <c r="A16" s="48">
        <v>39646</v>
      </c>
      <c r="B16" t="s">
        <v>114</v>
      </c>
      <c r="C16">
        <v>563.20000000000005</v>
      </c>
      <c r="D16">
        <v>1088</v>
      </c>
      <c r="E16">
        <v>24.32</v>
      </c>
      <c r="F16">
        <v>2</v>
      </c>
      <c r="G16">
        <v>7040</v>
      </c>
      <c r="H16">
        <v>819.81</v>
      </c>
      <c r="I16">
        <v>21.76</v>
      </c>
      <c r="K16">
        <v>0.48</v>
      </c>
      <c r="L16">
        <v>853.33</v>
      </c>
      <c r="M16" t="s">
        <v>4</v>
      </c>
      <c r="N16" t="s">
        <v>117</v>
      </c>
    </row>
    <row r="17" spans="1:14" x14ac:dyDescent="0.25">
      <c r="A17" s="48">
        <v>39680</v>
      </c>
      <c r="B17" t="s">
        <v>114</v>
      </c>
      <c r="C17">
        <v>220.8</v>
      </c>
      <c r="D17">
        <v>667.43</v>
      </c>
      <c r="E17">
        <v>154.24</v>
      </c>
      <c r="F17">
        <v>0.64</v>
      </c>
      <c r="G17">
        <v>1904</v>
      </c>
      <c r="H17">
        <v>150.15</v>
      </c>
      <c r="I17">
        <v>19.989999999999998</v>
      </c>
      <c r="J17">
        <v>0.96</v>
      </c>
      <c r="L17">
        <v>128</v>
      </c>
      <c r="M17" t="s">
        <v>4</v>
      </c>
      <c r="N17" t="s">
        <v>117</v>
      </c>
    </row>
    <row r="18" spans="1:14" x14ac:dyDescent="0.25">
      <c r="A18" s="48">
        <v>39708</v>
      </c>
      <c r="B18" t="s">
        <v>114</v>
      </c>
      <c r="C18">
        <v>377.6</v>
      </c>
      <c r="D18">
        <v>405.71</v>
      </c>
      <c r="E18">
        <v>612.57000000000005</v>
      </c>
      <c r="F18">
        <v>0.64</v>
      </c>
      <c r="G18">
        <v>2080</v>
      </c>
      <c r="H18">
        <v>165.24</v>
      </c>
      <c r="I18">
        <v>61.76</v>
      </c>
      <c r="J18">
        <v>61.4</v>
      </c>
      <c r="L18">
        <v>114.29</v>
      </c>
      <c r="M18" t="s">
        <v>4</v>
      </c>
      <c r="N18" t="s">
        <v>117</v>
      </c>
    </row>
    <row r="19" spans="1:14" x14ac:dyDescent="0.25">
      <c r="A19" s="48">
        <v>39744</v>
      </c>
      <c r="B19" t="s">
        <v>114</v>
      </c>
      <c r="C19">
        <v>1088</v>
      </c>
      <c r="D19">
        <v>293.33</v>
      </c>
      <c r="E19">
        <v>180.57</v>
      </c>
      <c r="G19">
        <v>2656</v>
      </c>
      <c r="H19">
        <v>125.05</v>
      </c>
      <c r="I19">
        <v>162.66999999999999</v>
      </c>
      <c r="J19">
        <v>70.92</v>
      </c>
      <c r="L19">
        <v>480</v>
      </c>
      <c r="M19" t="s">
        <v>4</v>
      </c>
      <c r="N19" t="s">
        <v>117</v>
      </c>
    </row>
    <row r="20" spans="1:14" x14ac:dyDescent="0.25">
      <c r="A20" s="8">
        <v>39573</v>
      </c>
      <c r="B20" t="s">
        <v>114</v>
      </c>
      <c r="C20">
        <v>0.33</v>
      </c>
      <c r="D20">
        <v>11.4</v>
      </c>
      <c r="E20">
        <v>0.38</v>
      </c>
      <c r="F20">
        <v>0.01</v>
      </c>
      <c r="G20">
        <v>0.11</v>
      </c>
      <c r="H20">
        <v>0.08</v>
      </c>
      <c r="I20">
        <v>0.01</v>
      </c>
      <c r="J20">
        <v>0</v>
      </c>
      <c r="K20">
        <v>0.01</v>
      </c>
      <c r="L20">
        <v>0.03</v>
      </c>
      <c r="M20" t="s">
        <v>3</v>
      </c>
      <c r="N20" t="s">
        <v>117</v>
      </c>
    </row>
    <row r="21" spans="1:14" x14ac:dyDescent="0.25">
      <c r="A21" s="8">
        <v>39608</v>
      </c>
      <c r="B21" t="s">
        <v>114</v>
      </c>
      <c r="C21">
        <v>0.02</v>
      </c>
      <c r="D21">
        <v>4.93</v>
      </c>
      <c r="E21">
        <v>0.19</v>
      </c>
      <c r="F21">
        <v>0.16</v>
      </c>
      <c r="G21">
        <v>0.13</v>
      </c>
      <c r="H21">
        <v>0.04</v>
      </c>
      <c r="I21">
        <v>0.04</v>
      </c>
      <c r="J21">
        <v>0</v>
      </c>
      <c r="K21">
        <v>0.01</v>
      </c>
      <c r="L21">
        <v>0.02</v>
      </c>
      <c r="M21" t="s">
        <v>3</v>
      </c>
      <c r="N21" t="s">
        <v>117</v>
      </c>
    </row>
    <row r="22" spans="1:14" x14ac:dyDescent="0.25">
      <c r="A22" s="8">
        <v>39646</v>
      </c>
      <c r="B22" t="s">
        <v>114</v>
      </c>
      <c r="C22">
        <v>0.06</v>
      </c>
      <c r="D22">
        <v>3.36</v>
      </c>
      <c r="E22">
        <v>0.22</v>
      </c>
      <c r="F22">
        <v>0.04</v>
      </c>
      <c r="G22">
        <v>11.04</v>
      </c>
      <c r="H22">
        <v>1.92</v>
      </c>
      <c r="I22">
        <v>0.11</v>
      </c>
      <c r="J22">
        <v>0</v>
      </c>
      <c r="K22">
        <v>0.04</v>
      </c>
      <c r="L22">
        <v>0.01</v>
      </c>
      <c r="M22" t="s">
        <v>3</v>
      </c>
      <c r="N22" t="s">
        <v>117</v>
      </c>
    </row>
    <row r="23" spans="1:14" x14ac:dyDescent="0.25">
      <c r="A23" s="8">
        <v>39680</v>
      </c>
      <c r="B23" t="s">
        <v>114</v>
      </c>
      <c r="C23">
        <v>0.02</v>
      </c>
      <c r="D23">
        <v>2.2999999999999998</v>
      </c>
      <c r="E23">
        <v>0.39</v>
      </c>
      <c r="F23">
        <v>0.02</v>
      </c>
      <c r="G23">
        <v>0.95</v>
      </c>
      <c r="H23">
        <v>0.65</v>
      </c>
      <c r="I23">
        <v>0.11</v>
      </c>
      <c r="J23">
        <v>0</v>
      </c>
      <c r="K23">
        <v>0</v>
      </c>
      <c r="L23">
        <v>0</v>
      </c>
      <c r="M23" t="s">
        <v>3</v>
      </c>
      <c r="N23" t="s">
        <v>117</v>
      </c>
    </row>
    <row r="24" spans="1:14" x14ac:dyDescent="0.25">
      <c r="A24" s="8">
        <v>39708</v>
      </c>
      <c r="B24" t="s">
        <v>114</v>
      </c>
      <c r="C24">
        <v>0.05</v>
      </c>
      <c r="D24">
        <v>1.43</v>
      </c>
      <c r="E24">
        <v>2.52</v>
      </c>
      <c r="F24">
        <v>0.02</v>
      </c>
      <c r="G24">
        <v>1.71</v>
      </c>
      <c r="H24">
        <v>0.82</v>
      </c>
      <c r="I24">
        <v>0.26</v>
      </c>
      <c r="J24">
        <v>0.15</v>
      </c>
      <c r="K24">
        <v>0</v>
      </c>
      <c r="L24">
        <v>0</v>
      </c>
      <c r="M24" t="s">
        <v>3</v>
      </c>
      <c r="N24" t="s">
        <v>117</v>
      </c>
    </row>
    <row r="25" spans="1:14" x14ac:dyDescent="0.25">
      <c r="A25" s="8">
        <v>39744</v>
      </c>
      <c r="B25" t="s">
        <v>114</v>
      </c>
      <c r="C25">
        <v>0.09</v>
      </c>
      <c r="D25">
        <v>0.96</v>
      </c>
      <c r="E25">
        <v>1.39</v>
      </c>
      <c r="F25">
        <v>0</v>
      </c>
      <c r="G25">
        <v>2.38</v>
      </c>
      <c r="H25">
        <v>0.73</v>
      </c>
      <c r="I25">
        <v>0.56999999999999995</v>
      </c>
      <c r="J25">
        <v>0.27</v>
      </c>
      <c r="K25">
        <v>0</v>
      </c>
      <c r="L25">
        <v>0.01</v>
      </c>
      <c r="M25" t="s">
        <v>3</v>
      </c>
      <c r="N25" t="s">
        <v>117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7B4D-B0B8-4EFD-8365-7A42F4EB057D}">
  <dimension ref="A1:T51"/>
  <sheetViews>
    <sheetView topLeftCell="A8" workbookViewId="0">
      <selection activeCell="I27" sqref="I27"/>
    </sheetView>
  </sheetViews>
  <sheetFormatPr defaultRowHeight="15" x14ac:dyDescent="0.25"/>
  <cols>
    <col min="1" max="1" width="9.28515625" bestFit="1" customWidth="1"/>
  </cols>
  <sheetData>
    <row r="1" spans="1:20" ht="45" customHeight="1" x14ac:dyDescent="0.25">
      <c r="A1" s="6" t="s">
        <v>0</v>
      </c>
      <c r="B1" s="6" t="s">
        <v>5</v>
      </c>
      <c r="C1" s="6" t="s">
        <v>1</v>
      </c>
      <c r="D1" s="41" t="s">
        <v>113</v>
      </c>
      <c r="E1" s="46" t="s">
        <v>7</v>
      </c>
      <c r="F1" s="42" t="s">
        <v>111</v>
      </c>
      <c r="G1" s="41" t="s">
        <v>110</v>
      </c>
      <c r="H1" s="46" t="s">
        <v>8</v>
      </c>
      <c r="I1" s="46" t="s">
        <v>9</v>
      </c>
      <c r="J1" s="46" t="s">
        <v>10</v>
      </c>
      <c r="K1" s="46" t="s">
        <v>11</v>
      </c>
      <c r="L1" s="46" t="s">
        <v>13</v>
      </c>
      <c r="M1" s="46" t="s">
        <v>14</v>
      </c>
      <c r="N1" s="46" t="s">
        <v>15</v>
      </c>
      <c r="O1" s="6" t="s">
        <v>2</v>
      </c>
      <c r="P1" s="6" t="s">
        <v>115</v>
      </c>
      <c r="Q1" s="6"/>
      <c r="R1" s="6"/>
      <c r="S1" s="6"/>
      <c r="T1" s="6"/>
    </row>
    <row r="2" spans="1:20" x14ac:dyDescent="0.25">
      <c r="A2" s="45">
        <v>39937</v>
      </c>
      <c r="B2" s="44">
        <v>25</v>
      </c>
      <c r="C2" s="44" t="s">
        <v>57</v>
      </c>
      <c r="D2" s="44">
        <v>4.0824999999999996</v>
      </c>
      <c r="E2" s="44">
        <v>1.6160000000000001</v>
      </c>
      <c r="F2" s="44">
        <v>1.25E-3</v>
      </c>
      <c r="G2" s="44">
        <v>1.55E-2</v>
      </c>
      <c r="H2" s="44">
        <v>0.57599999999999996</v>
      </c>
      <c r="I2" s="44">
        <v>2E-3</v>
      </c>
      <c r="J2" s="44">
        <v>1.0749999999999999E-2</v>
      </c>
      <c r="K2" s="44">
        <v>0</v>
      </c>
      <c r="L2" s="44">
        <v>0</v>
      </c>
      <c r="M2" s="44">
        <v>1.04525</v>
      </c>
      <c r="N2" s="44">
        <v>1.5E-3</v>
      </c>
      <c r="O2" s="5" t="s">
        <v>4</v>
      </c>
      <c r="P2" s="5" t="s">
        <v>116</v>
      </c>
      <c r="Q2" s="5"/>
      <c r="R2" s="5"/>
      <c r="S2" s="5"/>
    </row>
    <row r="3" spans="1:20" x14ac:dyDescent="0.25">
      <c r="A3" s="45">
        <v>39972</v>
      </c>
      <c r="B3" s="44">
        <v>50</v>
      </c>
      <c r="C3" s="44" t="s">
        <v>57</v>
      </c>
      <c r="D3" s="44">
        <v>1.5525</v>
      </c>
      <c r="E3" s="44">
        <v>0.97624999999999995</v>
      </c>
      <c r="F3" s="44">
        <v>7.2500000000000004E-3</v>
      </c>
      <c r="G3" s="44">
        <v>2.2749999999999999E-2</v>
      </c>
      <c r="H3" s="44">
        <v>0.55325000000000002</v>
      </c>
      <c r="I3" s="44">
        <v>1.2500000000000001E-2</v>
      </c>
      <c r="J3" s="44">
        <v>1.8499999999999999E-2</v>
      </c>
      <c r="K3" s="44">
        <v>0</v>
      </c>
      <c r="L3" s="44">
        <v>0</v>
      </c>
      <c r="M3" s="44">
        <v>0.92825000000000002</v>
      </c>
      <c r="N3" s="44">
        <v>0</v>
      </c>
      <c r="O3" s="5" t="s">
        <v>4</v>
      </c>
      <c r="P3" s="5" t="s">
        <v>116</v>
      </c>
      <c r="Q3" s="5"/>
      <c r="R3" s="5"/>
      <c r="S3" s="5"/>
    </row>
    <row r="4" spans="1:20" x14ac:dyDescent="0.25">
      <c r="A4" s="45">
        <v>40000</v>
      </c>
      <c r="B4" s="44">
        <v>50</v>
      </c>
      <c r="C4" s="44" t="s">
        <v>57</v>
      </c>
      <c r="D4" s="44">
        <v>0.88224999999999998</v>
      </c>
      <c r="E4" s="44">
        <v>0.79749999999999999</v>
      </c>
      <c r="F4" s="44">
        <v>6.2500000000000003E-3</v>
      </c>
      <c r="G4" s="44">
        <v>8.4750000000000006E-2</v>
      </c>
      <c r="H4" s="44">
        <v>1.6487499999999999</v>
      </c>
      <c r="I4" s="44">
        <v>1.1014999999999999</v>
      </c>
      <c r="J4" s="44">
        <v>8.5000000000000006E-3</v>
      </c>
      <c r="K4" s="44">
        <v>0</v>
      </c>
      <c r="L4" s="44">
        <v>0</v>
      </c>
      <c r="M4" s="44">
        <v>0.3705</v>
      </c>
      <c r="N4" s="44">
        <v>0</v>
      </c>
      <c r="O4" s="5" t="s">
        <v>4</v>
      </c>
      <c r="P4" s="5" t="s">
        <v>116</v>
      </c>
      <c r="Q4" s="5"/>
      <c r="R4" s="5"/>
      <c r="S4" s="5"/>
    </row>
    <row r="5" spans="1:20" x14ac:dyDescent="0.25">
      <c r="A5" s="45">
        <v>40042</v>
      </c>
      <c r="B5" s="44">
        <v>50</v>
      </c>
      <c r="C5" s="44" t="s">
        <v>57</v>
      </c>
      <c r="D5" s="44">
        <v>0.29949999999999999</v>
      </c>
      <c r="E5" s="44">
        <v>0.192</v>
      </c>
      <c r="F5" s="44">
        <v>1.0999999999999999E-2</v>
      </c>
      <c r="G5" s="44">
        <v>0.16975000000000001</v>
      </c>
      <c r="H5" s="44">
        <v>0.23250000000000001</v>
      </c>
      <c r="I5" s="44">
        <v>0.13125000000000001</v>
      </c>
      <c r="J5" s="44">
        <v>1.8749999999999999E-2</v>
      </c>
      <c r="K5" s="44">
        <v>1E-3</v>
      </c>
      <c r="L5" s="44">
        <v>5.475E-2</v>
      </c>
      <c r="M5" s="44">
        <v>3.6499999999999998E-2</v>
      </c>
      <c r="N5" s="44">
        <v>0</v>
      </c>
      <c r="O5" s="5" t="s">
        <v>4</v>
      </c>
      <c r="P5" s="5" t="s">
        <v>116</v>
      </c>
      <c r="Q5" s="5"/>
      <c r="R5" s="5"/>
      <c r="S5" s="5"/>
    </row>
    <row r="6" spans="1:20" x14ac:dyDescent="0.25">
      <c r="A6" s="45">
        <v>40077</v>
      </c>
      <c r="B6" s="44">
        <v>50</v>
      </c>
      <c r="C6" s="44" t="s">
        <v>57</v>
      </c>
      <c r="D6" s="44">
        <v>0.19625000000000001</v>
      </c>
      <c r="E6" s="44">
        <v>0.58799999999999997</v>
      </c>
      <c r="F6" s="44">
        <v>1E-3</v>
      </c>
      <c r="G6" s="44">
        <v>0.21825</v>
      </c>
      <c r="H6" s="44">
        <v>0.19800000000000001</v>
      </c>
      <c r="I6" s="44">
        <v>0.25774999999999998</v>
      </c>
      <c r="J6" s="44">
        <v>1.25E-3</v>
      </c>
      <c r="K6" s="44">
        <v>0</v>
      </c>
      <c r="L6" s="44">
        <v>0</v>
      </c>
      <c r="M6" s="44">
        <v>2.6499999999999999E-2</v>
      </c>
      <c r="N6" s="44">
        <v>0</v>
      </c>
      <c r="O6" s="5" t="s">
        <v>4</v>
      </c>
      <c r="P6" s="5" t="s">
        <v>116</v>
      </c>
      <c r="Q6" s="5"/>
      <c r="R6" s="5"/>
      <c r="S6" s="5"/>
    </row>
    <row r="7" spans="1:20" x14ac:dyDescent="0.25">
      <c r="A7" s="45">
        <v>40105</v>
      </c>
      <c r="B7" s="44">
        <v>50</v>
      </c>
      <c r="C7" s="44" t="s">
        <v>57</v>
      </c>
      <c r="D7" s="44">
        <v>0.28799999999999998</v>
      </c>
      <c r="E7" s="44">
        <v>0.52</v>
      </c>
      <c r="F7" s="44">
        <v>0</v>
      </c>
      <c r="G7" s="44">
        <v>0.23599999999999999</v>
      </c>
      <c r="H7" s="44">
        <v>0.53</v>
      </c>
      <c r="I7" s="44">
        <v>0.49199999999999999</v>
      </c>
      <c r="J7" s="44">
        <v>2.5000000000000001E-3</v>
      </c>
      <c r="K7" s="44">
        <v>0</v>
      </c>
      <c r="L7" s="44">
        <v>0</v>
      </c>
      <c r="M7" s="44">
        <v>0.06</v>
      </c>
      <c r="N7" s="44">
        <v>0</v>
      </c>
      <c r="O7" s="5" t="s">
        <v>4</v>
      </c>
      <c r="P7" s="5" t="s">
        <v>116</v>
      </c>
      <c r="Q7" s="5"/>
      <c r="R7" s="5"/>
      <c r="S7" s="5"/>
    </row>
    <row r="8" spans="1:20" x14ac:dyDescent="0.25">
      <c r="A8" s="45">
        <v>39937</v>
      </c>
      <c r="B8" s="44">
        <v>25</v>
      </c>
      <c r="C8" s="44" t="s">
        <v>57</v>
      </c>
      <c r="D8" s="44">
        <v>7.7857142857142856</v>
      </c>
      <c r="E8" s="44">
        <v>0.35714285714285715</v>
      </c>
      <c r="F8" s="44">
        <v>0</v>
      </c>
      <c r="G8" s="44">
        <v>0.17857142857142858</v>
      </c>
      <c r="H8" s="44">
        <v>0.5</v>
      </c>
      <c r="I8" s="44">
        <v>0</v>
      </c>
      <c r="J8" s="44">
        <v>3.5714285714285712E-2</v>
      </c>
      <c r="K8" s="44">
        <v>0</v>
      </c>
      <c r="L8" s="44">
        <v>0</v>
      </c>
      <c r="M8" s="44">
        <v>0</v>
      </c>
      <c r="N8" s="44">
        <v>0</v>
      </c>
      <c r="O8" s="5" t="s">
        <v>3</v>
      </c>
      <c r="P8" s="5" t="s">
        <v>116</v>
      </c>
      <c r="Q8" s="5"/>
      <c r="R8" s="5"/>
      <c r="S8" s="5"/>
    </row>
    <row r="9" spans="1:20" x14ac:dyDescent="0.25">
      <c r="A9" s="45">
        <v>39972</v>
      </c>
      <c r="B9" s="44">
        <v>50</v>
      </c>
      <c r="C9" s="44" t="s">
        <v>57</v>
      </c>
      <c r="D9" s="44">
        <v>5.6071428571428568</v>
      </c>
      <c r="E9" s="44">
        <v>0.14285714285714285</v>
      </c>
      <c r="F9" s="44">
        <v>0.21428571428571427</v>
      </c>
      <c r="G9" s="44">
        <v>0.17857142857142858</v>
      </c>
      <c r="H9" s="44">
        <v>0.42857142857142855</v>
      </c>
      <c r="I9" s="44">
        <v>0</v>
      </c>
      <c r="J9" s="44">
        <v>0.10714285714285714</v>
      </c>
      <c r="K9" s="44">
        <v>0</v>
      </c>
      <c r="L9" s="44">
        <v>0</v>
      </c>
      <c r="M9" s="44">
        <v>0</v>
      </c>
      <c r="N9" s="44">
        <v>0</v>
      </c>
      <c r="O9" s="5" t="s">
        <v>3</v>
      </c>
      <c r="P9" s="5" t="s">
        <v>116</v>
      </c>
      <c r="Q9" s="5"/>
      <c r="R9" s="5"/>
      <c r="S9" s="5"/>
    </row>
    <row r="10" spans="1:20" x14ac:dyDescent="0.25">
      <c r="A10" s="45">
        <v>40000</v>
      </c>
      <c r="B10" s="44">
        <v>50</v>
      </c>
      <c r="C10" s="44" t="s">
        <v>57</v>
      </c>
      <c r="D10" s="44">
        <v>3</v>
      </c>
      <c r="E10" s="44">
        <v>0.21428571428571427</v>
      </c>
      <c r="F10" s="44">
        <v>0.25</v>
      </c>
      <c r="G10" s="44">
        <v>0.5357142857142857</v>
      </c>
      <c r="H10" s="44">
        <v>1.5714285714285714</v>
      </c>
      <c r="I10" s="44">
        <v>2.6071428571428572</v>
      </c>
      <c r="J10" s="44">
        <v>0.10714285714285714</v>
      </c>
      <c r="K10" s="44">
        <v>0</v>
      </c>
      <c r="L10" s="44">
        <v>0</v>
      </c>
      <c r="M10" s="44">
        <v>0</v>
      </c>
      <c r="N10" s="44">
        <v>0</v>
      </c>
      <c r="O10" s="5" t="s">
        <v>3</v>
      </c>
      <c r="P10" s="5" t="s">
        <v>116</v>
      </c>
      <c r="Q10" s="5"/>
      <c r="R10" s="5"/>
      <c r="S10" s="5"/>
    </row>
    <row r="11" spans="1:20" x14ac:dyDescent="0.25">
      <c r="A11" s="45">
        <v>40042</v>
      </c>
      <c r="B11" s="44">
        <v>50</v>
      </c>
      <c r="C11" s="44" t="s">
        <v>57</v>
      </c>
      <c r="D11" s="44">
        <v>1.1428571428571428</v>
      </c>
      <c r="E11" s="44">
        <v>0</v>
      </c>
      <c r="F11" s="44">
        <v>0.2857142857142857</v>
      </c>
      <c r="G11" s="44">
        <v>1</v>
      </c>
      <c r="H11" s="44">
        <v>0.8214285714285714</v>
      </c>
      <c r="I11" s="44">
        <v>0.5714285714285714</v>
      </c>
      <c r="J11" s="44">
        <v>0.10714285714285714</v>
      </c>
      <c r="K11" s="44">
        <v>0</v>
      </c>
      <c r="L11" s="44">
        <v>0.10714285714285714</v>
      </c>
      <c r="M11" s="44">
        <v>0</v>
      </c>
      <c r="N11" s="44">
        <v>0</v>
      </c>
      <c r="O11" s="5" t="s">
        <v>3</v>
      </c>
      <c r="P11" s="5" t="s">
        <v>116</v>
      </c>
      <c r="Q11" s="5"/>
      <c r="R11" s="5"/>
      <c r="S11" s="5"/>
    </row>
    <row r="12" spans="1:20" x14ac:dyDescent="0.25">
      <c r="A12" s="45">
        <v>40077</v>
      </c>
      <c r="B12" s="44">
        <v>50</v>
      </c>
      <c r="C12" s="44" t="s">
        <v>57</v>
      </c>
      <c r="D12" s="44">
        <v>0.6428571428571429</v>
      </c>
      <c r="E12" s="44">
        <v>0</v>
      </c>
      <c r="F12" s="44">
        <v>7.1428571428571425E-2</v>
      </c>
      <c r="G12" s="44">
        <v>1.25</v>
      </c>
      <c r="H12" s="44">
        <v>0.25</v>
      </c>
      <c r="I12" s="44">
        <v>1.0357142857142858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5" t="s">
        <v>3</v>
      </c>
      <c r="P12" s="5" t="s">
        <v>116</v>
      </c>
      <c r="Q12" s="5"/>
      <c r="R12" s="5"/>
      <c r="S12" s="5"/>
    </row>
    <row r="13" spans="1:20" x14ac:dyDescent="0.25">
      <c r="A13" s="45">
        <v>40105</v>
      </c>
      <c r="B13" s="44">
        <v>50</v>
      </c>
      <c r="C13" s="44" t="s">
        <v>57</v>
      </c>
      <c r="D13" s="44">
        <v>0.7142857142857143</v>
      </c>
      <c r="E13" s="44">
        <v>0</v>
      </c>
      <c r="F13" s="44">
        <v>0</v>
      </c>
      <c r="G13" s="44">
        <v>1.7857142857142858</v>
      </c>
      <c r="H13" s="44">
        <v>0.5357142857142857</v>
      </c>
      <c r="I13" s="44">
        <v>2.1071428571428572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5" t="s">
        <v>3</v>
      </c>
      <c r="P13" s="5" t="s">
        <v>116</v>
      </c>
      <c r="Q13" s="5"/>
      <c r="R13" s="5"/>
      <c r="S13" s="5"/>
    </row>
    <row r="14" spans="1:20" x14ac:dyDescent="0.25">
      <c r="A14" s="4">
        <v>39937</v>
      </c>
      <c r="B14" s="44">
        <v>25</v>
      </c>
      <c r="C14" s="44" t="s">
        <v>57</v>
      </c>
      <c r="D14" s="5">
        <v>4.0830000000000002</v>
      </c>
      <c r="E14" s="5">
        <v>1.6160000000000001</v>
      </c>
      <c r="F14" s="7">
        <v>1E-3</v>
      </c>
      <c r="G14" s="5">
        <v>1.6E-2</v>
      </c>
      <c r="H14" s="5">
        <v>0.57599999999999996</v>
      </c>
      <c r="I14" s="5">
        <v>2E-3</v>
      </c>
      <c r="J14" s="5">
        <v>1.0999999999999999E-2</v>
      </c>
      <c r="K14" s="5">
        <v>0</v>
      </c>
      <c r="L14" s="5">
        <v>0</v>
      </c>
      <c r="M14" s="5">
        <v>1.0449999999999999</v>
      </c>
      <c r="N14" s="5">
        <v>2E-3</v>
      </c>
      <c r="O14" s="5" t="s">
        <v>4</v>
      </c>
      <c r="P14" s="5" t="s">
        <v>117</v>
      </c>
      <c r="Q14" s="5"/>
      <c r="R14" s="5"/>
      <c r="S14" s="5"/>
    </row>
    <row r="15" spans="1:20" x14ac:dyDescent="0.25">
      <c r="A15" s="4">
        <v>39972</v>
      </c>
      <c r="B15" s="44">
        <v>50</v>
      </c>
      <c r="C15" s="44" t="s">
        <v>57</v>
      </c>
      <c r="D15" s="5">
        <v>1.5529999999999999</v>
      </c>
      <c r="E15" s="5">
        <v>0.97599999999999998</v>
      </c>
      <c r="F15" s="7">
        <v>7.0000000000000001E-3</v>
      </c>
      <c r="G15" s="5">
        <v>2.3E-2</v>
      </c>
      <c r="H15" s="5">
        <v>0.55300000000000005</v>
      </c>
      <c r="I15" s="5">
        <v>1.2999999999999999E-2</v>
      </c>
      <c r="J15" s="5">
        <v>1.9E-2</v>
      </c>
      <c r="K15" s="5">
        <v>0</v>
      </c>
      <c r="L15" s="5">
        <v>0</v>
      </c>
      <c r="M15" s="5">
        <v>0.92800000000000005</v>
      </c>
      <c r="N15" s="5">
        <v>0</v>
      </c>
      <c r="O15" s="5" t="s">
        <v>4</v>
      </c>
      <c r="P15" s="5" t="s">
        <v>117</v>
      </c>
      <c r="Q15" s="5"/>
      <c r="R15" s="5"/>
      <c r="S15" s="5"/>
    </row>
    <row r="16" spans="1:20" x14ac:dyDescent="0.25">
      <c r="A16" s="4">
        <v>40000</v>
      </c>
      <c r="B16" s="44">
        <v>50</v>
      </c>
      <c r="C16" s="44" t="s">
        <v>57</v>
      </c>
      <c r="D16" s="5">
        <v>0.88200000000000001</v>
      </c>
      <c r="E16" s="5">
        <v>0.79800000000000004</v>
      </c>
      <c r="F16" s="7">
        <v>6.0000000000000001E-3</v>
      </c>
      <c r="G16" s="5">
        <v>8.5000000000000006E-2</v>
      </c>
      <c r="H16" s="5">
        <v>1.649</v>
      </c>
      <c r="I16" s="5">
        <v>1.1020000000000001</v>
      </c>
      <c r="J16" s="5">
        <v>8.9999999999999993E-3</v>
      </c>
      <c r="K16" s="5">
        <v>0</v>
      </c>
      <c r="L16" s="5">
        <v>0</v>
      </c>
      <c r="M16" s="5">
        <v>0.371</v>
      </c>
      <c r="N16" s="5">
        <v>0</v>
      </c>
      <c r="O16" s="5" t="s">
        <v>4</v>
      </c>
      <c r="P16" s="5" t="s">
        <v>117</v>
      </c>
      <c r="Q16" s="5"/>
      <c r="R16" s="5"/>
      <c r="S16" s="5"/>
    </row>
    <row r="17" spans="1:19" x14ac:dyDescent="0.25">
      <c r="A17" s="4">
        <v>40042</v>
      </c>
      <c r="B17" s="44">
        <v>50</v>
      </c>
      <c r="C17" s="44" t="s">
        <v>57</v>
      </c>
      <c r="D17" s="5">
        <v>0.3</v>
      </c>
      <c r="E17" s="5">
        <v>0.192</v>
      </c>
      <c r="F17" s="7">
        <v>1.0999999999999999E-2</v>
      </c>
      <c r="G17" s="5">
        <v>0.17</v>
      </c>
      <c r="H17" s="5">
        <v>0.23300000000000001</v>
      </c>
      <c r="I17" s="5">
        <v>0.13100000000000001</v>
      </c>
      <c r="J17" s="5">
        <v>1.9E-2</v>
      </c>
      <c r="K17" s="5">
        <v>1E-3</v>
      </c>
      <c r="L17" s="5">
        <v>5.5E-2</v>
      </c>
      <c r="M17" s="5">
        <v>3.6999999999999998E-2</v>
      </c>
      <c r="N17" s="5">
        <v>0</v>
      </c>
      <c r="O17" s="5" t="s">
        <v>4</v>
      </c>
      <c r="P17" s="5" t="s">
        <v>117</v>
      </c>
      <c r="Q17" s="5"/>
      <c r="R17" s="5"/>
      <c r="S17" s="5"/>
    </row>
    <row r="18" spans="1:19" x14ac:dyDescent="0.25">
      <c r="A18" s="4">
        <v>40077</v>
      </c>
      <c r="B18" s="44">
        <v>50</v>
      </c>
      <c r="C18" s="44" t="s">
        <v>57</v>
      </c>
      <c r="D18" s="5">
        <v>0.19600000000000001</v>
      </c>
      <c r="E18" s="5">
        <v>0.58799999999999997</v>
      </c>
      <c r="F18" s="7">
        <v>1E-3</v>
      </c>
      <c r="G18" s="5">
        <v>0.218</v>
      </c>
      <c r="H18" s="5">
        <v>0.19800000000000001</v>
      </c>
      <c r="I18" s="5">
        <v>0.25800000000000001</v>
      </c>
      <c r="J18" s="5">
        <v>1E-3</v>
      </c>
      <c r="K18" s="5">
        <v>0</v>
      </c>
      <c r="L18" s="5">
        <v>0</v>
      </c>
      <c r="M18" s="5">
        <v>2.7E-2</v>
      </c>
      <c r="N18" s="5">
        <v>0</v>
      </c>
      <c r="O18" s="5" t="s">
        <v>4</v>
      </c>
      <c r="P18" s="5" t="s">
        <v>117</v>
      </c>
      <c r="Q18" s="5"/>
      <c r="R18" s="5"/>
      <c r="S18" s="5"/>
    </row>
    <row r="19" spans="1:19" x14ac:dyDescent="0.25">
      <c r="A19" s="4">
        <v>40105</v>
      </c>
      <c r="B19" s="44">
        <v>50</v>
      </c>
      <c r="C19" s="44" t="s">
        <v>57</v>
      </c>
      <c r="D19" s="5">
        <v>0.28799999999999998</v>
      </c>
      <c r="E19" s="5">
        <v>0.52</v>
      </c>
      <c r="F19" s="7">
        <v>0</v>
      </c>
      <c r="G19" s="5">
        <v>0.23599999999999999</v>
      </c>
      <c r="H19" s="5">
        <v>0.53</v>
      </c>
      <c r="I19" s="5">
        <v>0.49199999999999999</v>
      </c>
      <c r="J19" s="5">
        <v>3.0000000000000001E-3</v>
      </c>
      <c r="K19" s="5">
        <v>0</v>
      </c>
      <c r="L19" s="5">
        <v>0</v>
      </c>
      <c r="M19" s="5">
        <v>0.06</v>
      </c>
      <c r="N19" s="5">
        <v>0</v>
      </c>
      <c r="O19" s="5" t="s">
        <v>4</v>
      </c>
      <c r="P19" s="5" t="s">
        <v>117</v>
      </c>
      <c r="Q19" s="5"/>
      <c r="R19" s="5"/>
      <c r="S19" s="5"/>
    </row>
    <row r="20" spans="1:19" x14ac:dyDescent="0.25">
      <c r="A20" s="4">
        <v>39937</v>
      </c>
      <c r="B20" s="44">
        <v>25</v>
      </c>
      <c r="C20" s="44" t="s">
        <v>57</v>
      </c>
      <c r="D20" s="5">
        <v>7.7857000000000003</v>
      </c>
      <c r="E20" s="5">
        <v>0.35699999999999998</v>
      </c>
      <c r="F20" s="7">
        <v>0</v>
      </c>
      <c r="G20" s="5">
        <v>0.17899999999999999</v>
      </c>
      <c r="H20" s="5">
        <v>0.5</v>
      </c>
      <c r="I20" s="5">
        <v>0</v>
      </c>
      <c r="J20" s="5">
        <v>3.5999999999999997E-2</v>
      </c>
      <c r="K20" s="5">
        <v>0</v>
      </c>
      <c r="L20" s="5">
        <v>0</v>
      </c>
      <c r="M20" s="5">
        <v>0</v>
      </c>
      <c r="N20" s="5">
        <v>0</v>
      </c>
      <c r="O20" s="5" t="s">
        <v>3</v>
      </c>
      <c r="P20" s="5" t="s">
        <v>117</v>
      </c>
      <c r="Q20" s="5"/>
      <c r="R20" s="5"/>
      <c r="S20" s="5"/>
    </row>
    <row r="21" spans="1:19" x14ac:dyDescent="0.25">
      <c r="A21" s="4">
        <v>39972</v>
      </c>
      <c r="B21" s="44">
        <v>50</v>
      </c>
      <c r="C21" s="44" t="s">
        <v>57</v>
      </c>
      <c r="D21" s="5">
        <v>5.6071</v>
      </c>
      <c r="E21" s="5">
        <v>0.14299999999999999</v>
      </c>
      <c r="F21" s="7">
        <v>0.214</v>
      </c>
      <c r="G21" s="5">
        <v>0.17899999999999999</v>
      </c>
      <c r="H21" s="5">
        <v>0.42899999999999999</v>
      </c>
      <c r="I21" s="5">
        <v>0</v>
      </c>
      <c r="J21" s="5">
        <v>0.107</v>
      </c>
      <c r="K21" s="5">
        <v>0</v>
      </c>
      <c r="L21" s="5">
        <v>0</v>
      </c>
      <c r="M21" s="5">
        <v>0</v>
      </c>
      <c r="N21" s="5">
        <v>0</v>
      </c>
      <c r="O21" s="5" t="s">
        <v>3</v>
      </c>
      <c r="P21" s="5" t="s">
        <v>117</v>
      </c>
      <c r="Q21" s="5"/>
      <c r="R21" s="5"/>
      <c r="S21" s="5"/>
    </row>
    <row r="22" spans="1:19" x14ac:dyDescent="0.25">
      <c r="A22" s="4">
        <v>40000</v>
      </c>
      <c r="B22" s="44">
        <v>50</v>
      </c>
      <c r="C22" s="44" t="s">
        <v>57</v>
      </c>
      <c r="D22" s="5">
        <v>3</v>
      </c>
      <c r="E22" s="5">
        <v>0.214</v>
      </c>
      <c r="F22" s="7">
        <v>0.25</v>
      </c>
      <c r="G22" s="5">
        <v>0.53600000000000003</v>
      </c>
      <c r="H22" s="5">
        <v>1.571</v>
      </c>
      <c r="I22" s="5">
        <v>2.6070000000000002</v>
      </c>
      <c r="J22" s="5">
        <v>0.107</v>
      </c>
      <c r="K22" s="5">
        <v>0</v>
      </c>
      <c r="L22" s="5">
        <v>0</v>
      </c>
      <c r="M22" s="5">
        <v>0</v>
      </c>
      <c r="N22" s="5">
        <v>0</v>
      </c>
      <c r="O22" s="5" t="s">
        <v>3</v>
      </c>
      <c r="P22" s="5" t="s">
        <v>117</v>
      </c>
      <c r="Q22" s="5"/>
      <c r="R22" s="5"/>
      <c r="S22" s="5"/>
    </row>
    <row r="23" spans="1:19" x14ac:dyDescent="0.25">
      <c r="A23" s="4">
        <v>40042</v>
      </c>
      <c r="B23" s="44">
        <v>50</v>
      </c>
      <c r="C23" s="44" t="s">
        <v>57</v>
      </c>
      <c r="D23" s="5">
        <v>1.1429</v>
      </c>
      <c r="E23" s="5">
        <v>0</v>
      </c>
      <c r="F23" s="7">
        <v>0.28599999999999998</v>
      </c>
      <c r="G23" s="5">
        <v>1</v>
      </c>
      <c r="H23" s="5">
        <v>0.82099999999999995</v>
      </c>
      <c r="I23" s="5">
        <v>0.57099999999999995</v>
      </c>
      <c r="J23" s="5">
        <v>0.107</v>
      </c>
      <c r="K23" s="5">
        <v>0</v>
      </c>
      <c r="L23" s="5">
        <v>0.107</v>
      </c>
      <c r="M23" s="5">
        <v>0</v>
      </c>
      <c r="N23" s="5">
        <v>0</v>
      </c>
      <c r="O23" s="5" t="s">
        <v>3</v>
      </c>
      <c r="P23" s="5" t="s">
        <v>117</v>
      </c>
      <c r="Q23" s="5"/>
      <c r="R23" s="5"/>
      <c r="S23" s="5"/>
    </row>
    <row r="24" spans="1:19" x14ac:dyDescent="0.25">
      <c r="A24" s="4">
        <v>40077</v>
      </c>
      <c r="B24" s="44">
        <v>50</v>
      </c>
      <c r="C24" s="44" t="s">
        <v>57</v>
      </c>
      <c r="D24" s="5">
        <v>0.64290000000000003</v>
      </c>
      <c r="E24" s="5">
        <v>0</v>
      </c>
      <c r="F24" s="7">
        <v>7.0999999999999994E-2</v>
      </c>
      <c r="G24" s="5">
        <v>1.25</v>
      </c>
      <c r="H24" s="5">
        <v>0.25</v>
      </c>
      <c r="I24" s="5">
        <v>1.036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 t="s">
        <v>3</v>
      </c>
      <c r="P24" s="5" t="s">
        <v>117</v>
      </c>
      <c r="Q24" s="5"/>
      <c r="R24" s="5"/>
      <c r="S24" s="5"/>
    </row>
    <row r="25" spans="1:19" x14ac:dyDescent="0.25">
      <c r="A25" s="4">
        <v>40105</v>
      </c>
      <c r="B25" s="44">
        <v>50</v>
      </c>
      <c r="C25" s="44" t="s">
        <v>57</v>
      </c>
      <c r="D25" s="5">
        <v>0.71430000000000005</v>
      </c>
      <c r="E25" s="5">
        <v>0</v>
      </c>
      <c r="F25" s="7">
        <v>0</v>
      </c>
      <c r="G25" s="5">
        <v>1.786</v>
      </c>
      <c r="H25" s="5">
        <v>0.53600000000000003</v>
      </c>
      <c r="I25" s="5">
        <v>2.1070000000000002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 t="s">
        <v>3</v>
      </c>
      <c r="P25" s="5" t="s">
        <v>117</v>
      </c>
      <c r="Q25" s="5"/>
      <c r="R25" s="5"/>
      <c r="S25" s="5"/>
    </row>
    <row r="26" spans="1:19" x14ac:dyDescent="0.25">
      <c r="A26" s="4"/>
      <c r="B26" s="5"/>
      <c r="C26" s="5"/>
      <c r="D26" s="5"/>
      <c r="E26" s="5"/>
      <c r="F26" s="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5">
      <c r="A27" s="4"/>
      <c r="B27" s="5"/>
      <c r="C27" s="5"/>
      <c r="D27" s="5"/>
      <c r="E27" s="5"/>
      <c r="F27" s="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4"/>
      <c r="B28" s="5"/>
      <c r="C28" s="5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4"/>
      <c r="B29" s="5"/>
      <c r="C29" s="5"/>
      <c r="D29" s="5"/>
      <c r="E29" s="5"/>
      <c r="F29" s="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4"/>
      <c r="B30" s="5"/>
      <c r="C30" s="5"/>
      <c r="D30" s="5"/>
      <c r="E30" s="5"/>
      <c r="F30" s="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4"/>
      <c r="B31" s="5"/>
      <c r="C31" s="5"/>
      <c r="D31" s="5"/>
      <c r="E31" s="5"/>
      <c r="F31" s="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4"/>
      <c r="B32" s="5"/>
      <c r="C32" s="5"/>
      <c r="D32" s="5"/>
      <c r="E32" s="5"/>
      <c r="F32" s="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A33" s="4"/>
      <c r="B33" s="5"/>
      <c r="C33" s="5"/>
      <c r="D33" s="5"/>
      <c r="E33" s="5"/>
      <c r="F33" s="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5">
      <c r="A34" s="4"/>
      <c r="B34" s="5"/>
      <c r="C34" s="5"/>
      <c r="D34" s="5"/>
      <c r="E34" s="5"/>
      <c r="F34" s="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5">
      <c r="A35" s="4"/>
      <c r="B35" s="5"/>
      <c r="C35" s="5"/>
      <c r="D35" s="5"/>
      <c r="E35" s="5"/>
      <c r="F35" s="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5">
      <c r="A36" s="4"/>
      <c r="B36" s="5"/>
      <c r="C36" s="5"/>
      <c r="D36" s="5"/>
      <c r="E36" s="5"/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5">
      <c r="A37" s="4"/>
      <c r="B37" s="5"/>
      <c r="C37" s="5"/>
      <c r="D37" s="5"/>
      <c r="E37" s="5"/>
      <c r="F37" s="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5">
      <c r="A38" s="4"/>
      <c r="B38" s="5"/>
      <c r="C38" s="5"/>
      <c r="D38" s="5"/>
      <c r="E38" s="5"/>
      <c r="F38" s="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5">
      <c r="A39" s="4"/>
      <c r="B39" s="5"/>
      <c r="C39" s="5"/>
      <c r="D39" s="5"/>
      <c r="E39" s="5"/>
      <c r="F39" s="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5">
      <c r="A40" s="4"/>
      <c r="B40" s="5"/>
      <c r="C40" s="5"/>
      <c r="D40" s="5"/>
      <c r="E40" s="5"/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5">
      <c r="A41" s="4"/>
      <c r="B41" s="5"/>
      <c r="C41" s="5"/>
      <c r="D41" s="5"/>
      <c r="E41" s="5"/>
      <c r="F41" s="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5">
      <c r="A42" s="4"/>
      <c r="B42" s="5"/>
      <c r="C42" s="5"/>
      <c r="D42" s="5"/>
      <c r="E42" s="5"/>
      <c r="F42" s="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5">
      <c r="A43" s="4"/>
      <c r="B43" s="5"/>
      <c r="C43" s="5"/>
      <c r="D43" s="5"/>
      <c r="E43" s="5"/>
      <c r="F43" s="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5">
      <c r="A44" s="4"/>
      <c r="B44" s="5"/>
      <c r="C44" s="5"/>
      <c r="D44" s="5"/>
      <c r="E44" s="5"/>
      <c r="F44" s="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A45" s="4"/>
      <c r="B45" s="5"/>
      <c r="C45" s="5"/>
      <c r="D45" s="5"/>
      <c r="E45" s="5"/>
      <c r="F45" s="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5">
      <c r="A46" s="4"/>
      <c r="B46" s="5"/>
      <c r="C46" s="5"/>
      <c r="D46" s="5"/>
      <c r="E46" s="5"/>
      <c r="F46" s="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5">
      <c r="A47" s="4"/>
      <c r="B47" s="5"/>
      <c r="C47" s="5"/>
      <c r="D47" s="5"/>
      <c r="E47" s="5"/>
      <c r="F47" s="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5">
      <c r="A48" s="4"/>
      <c r="B48" s="5"/>
      <c r="C48" s="5"/>
      <c r="D48" s="5"/>
      <c r="E48" s="5"/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5">
      <c r="A49" s="4"/>
      <c r="B49" s="5"/>
      <c r="C49" s="5"/>
      <c r="D49" s="5"/>
      <c r="E49" s="5"/>
      <c r="F49" s="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4"/>
      <c r="B50" s="5"/>
      <c r="C50" s="5"/>
      <c r="D50" s="5"/>
      <c r="E50" s="5"/>
      <c r="F50" s="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9BA1-CE57-401D-86A9-C0D2D624B4A0}">
  <dimension ref="A1:S25"/>
  <sheetViews>
    <sheetView zoomScaleNormal="100" workbookViewId="0">
      <selection activeCell="I16" sqref="I16"/>
    </sheetView>
  </sheetViews>
  <sheetFormatPr defaultRowHeight="15" x14ac:dyDescent="0.25"/>
  <cols>
    <col min="1" max="1" width="9.5703125" bestFit="1" customWidth="1"/>
  </cols>
  <sheetData>
    <row r="1" spans="1:19" ht="70.5" x14ac:dyDescent="0.25">
      <c r="A1" t="s">
        <v>0</v>
      </c>
      <c r="B1" t="s">
        <v>5</v>
      </c>
      <c r="C1" t="s">
        <v>1</v>
      </c>
      <c r="D1" s="41" t="s">
        <v>109</v>
      </c>
      <c r="E1" s="47" t="s">
        <v>7</v>
      </c>
      <c r="F1" s="42" t="s">
        <v>111</v>
      </c>
      <c r="G1" s="41" t="s">
        <v>110</v>
      </c>
      <c r="H1" s="47" t="s">
        <v>8</v>
      </c>
      <c r="I1" s="47" t="s">
        <v>9</v>
      </c>
      <c r="J1" s="47" t="s">
        <v>10</v>
      </c>
      <c r="K1" s="47" t="s">
        <v>11</v>
      </c>
      <c r="L1" s="47" t="s">
        <v>13</v>
      </c>
      <c r="M1" s="47" t="s">
        <v>17</v>
      </c>
      <c r="N1" s="47" t="s">
        <v>18</v>
      </c>
      <c r="O1" s="47" t="s">
        <v>15</v>
      </c>
      <c r="P1" s="10" t="s">
        <v>2</v>
      </c>
      <c r="Q1" s="10" t="s">
        <v>115</v>
      </c>
      <c r="R1" s="10"/>
      <c r="S1" s="10"/>
    </row>
    <row r="2" spans="1:19" x14ac:dyDescent="0.25">
      <c r="A2" s="45">
        <v>40290</v>
      </c>
      <c r="B2" s="44">
        <v>25</v>
      </c>
      <c r="C2" s="44" t="s">
        <v>57</v>
      </c>
      <c r="D2" s="44">
        <v>1.8008269837761963</v>
      </c>
      <c r="E2" s="44">
        <v>1.4167020820750578</v>
      </c>
      <c r="F2" s="44">
        <v>5.5386559881957481E-2</v>
      </c>
      <c r="G2" s="44">
        <v>9.5261848737567795E-2</v>
      </c>
      <c r="H2" s="44">
        <v>0.12019650781282669</v>
      </c>
      <c r="I2" s="44">
        <v>1.392301804705124E-3</v>
      </c>
      <c r="J2" s="44">
        <v>1.1927657578036245E-3</v>
      </c>
      <c r="K2" s="44">
        <v>0</v>
      </c>
      <c r="L2" s="44">
        <v>0</v>
      </c>
      <c r="M2" s="44">
        <v>0</v>
      </c>
      <c r="N2" s="44">
        <v>0.36424545642817269</v>
      </c>
      <c r="O2" s="44">
        <v>0</v>
      </c>
      <c r="P2" s="11" t="s">
        <v>4</v>
      </c>
      <c r="Q2" s="11" t="s">
        <v>116</v>
      </c>
      <c r="R2" s="11"/>
    </row>
    <row r="3" spans="1:19" x14ac:dyDescent="0.25">
      <c r="A3" s="45">
        <v>40336</v>
      </c>
      <c r="B3" s="44">
        <v>50</v>
      </c>
      <c r="C3" s="44" t="s">
        <v>57</v>
      </c>
      <c r="D3" s="44">
        <v>1.1098662777663972</v>
      </c>
      <c r="E3" s="44">
        <v>0.45641684629988555</v>
      </c>
      <c r="F3" s="44">
        <v>3.0642432718198321E-2</v>
      </c>
      <c r="G3" s="44">
        <v>0.36995056502050594</v>
      </c>
      <c r="H3" s="44">
        <v>0.98241170603856287</v>
      </c>
      <c r="I3" s="44">
        <v>0.14288873761136187</v>
      </c>
      <c r="J3" s="44">
        <v>4.1595674335133059E-2</v>
      </c>
      <c r="K3" s="44">
        <v>0</v>
      </c>
      <c r="L3" s="44">
        <v>0</v>
      </c>
      <c r="M3" s="44">
        <v>0</v>
      </c>
      <c r="N3" s="44">
        <v>1.4650702731061576</v>
      </c>
      <c r="O3" s="44">
        <v>0</v>
      </c>
      <c r="P3" s="11" t="s">
        <v>4</v>
      </c>
      <c r="Q3" s="11" t="s">
        <v>116</v>
      </c>
      <c r="R3" s="11"/>
    </row>
    <row r="4" spans="1:19" x14ac:dyDescent="0.25">
      <c r="A4" s="45">
        <v>40385</v>
      </c>
      <c r="B4" s="44">
        <v>50</v>
      </c>
      <c r="C4" s="44" t="s">
        <v>57</v>
      </c>
      <c r="D4" s="44">
        <v>0.29533164212743857</v>
      </c>
      <c r="E4" s="44">
        <v>0.28961875597976977</v>
      </c>
      <c r="F4" s="44">
        <v>5.9241706161137445E-4</v>
      </c>
      <c r="G4" s="44">
        <v>0.2296371038772646</v>
      </c>
      <c r="H4" s="44">
        <v>0.43674070013447719</v>
      </c>
      <c r="I4" s="44">
        <v>0.67867362468640036</v>
      </c>
      <c r="J4" s="44">
        <v>7.6173566475956744E-2</v>
      </c>
      <c r="K4" s="44">
        <v>0</v>
      </c>
      <c r="L4" s="44">
        <v>0</v>
      </c>
      <c r="M4" s="44">
        <v>0</v>
      </c>
      <c r="N4" s="44">
        <v>0.61263212293502844</v>
      </c>
      <c r="O4" s="44">
        <v>0</v>
      </c>
      <c r="P4" s="11" t="s">
        <v>4</v>
      </c>
      <c r="Q4" s="11" t="s">
        <v>116</v>
      </c>
      <c r="R4" s="11"/>
    </row>
    <row r="5" spans="1:19" x14ac:dyDescent="0.25">
      <c r="A5" s="45">
        <v>40290</v>
      </c>
      <c r="B5" s="44">
        <v>25</v>
      </c>
      <c r="C5" s="44" t="s">
        <v>57</v>
      </c>
      <c r="D5" s="44">
        <v>4.601914362029321</v>
      </c>
      <c r="E5" s="44">
        <v>0.20238601172500825</v>
      </c>
      <c r="F5" s="44">
        <v>0.21789475300946057</v>
      </c>
      <c r="G5" s="44">
        <v>0.94643401755596612</v>
      </c>
      <c r="H5" s="44">
        <v>0.10936448977759806</v>
      </c>
      <c r="I5" s="44">
        <v>2.1433031398186086E-3</v>
      </c>
      <c r="J5" s="44">
        <v>6.8491705415649985E-3</v>
      </c>
      <c r="K5" s="44">
        <v>0</v>
      </c>
      <c r="L5" s="44">
        <v>0</v>
      </c>
      <c r="M5" s="44">
        <v>0</v>
      </c>
      <c r="N5" s="44">
        <v>5.2035065204024677E-2</v>
      </c>
      <c r="O5" s="44">
        <v>0</v>
      </c>
      <c r="P5" s="11" t="s">
        <v>3</v>
      </c>
      <c r="Q5" s="11" t="s">
        <v>116</v>
      </c>
      <c r="R5" s="11"/>
    </row>
    <row r="6" spans="1:19" x14ac:dyDescent="0.25">
      <c r="A6" s="45">
        <v>40336</v>
      </c>
      <c r="B6" s="44">
        <v>50</v>
      </c>
      <c r="C6" s="44" t="s">
        <v>57</v>
      </c>
      <c r="D6" s="44">
        <v>3.7638004350577825</v>
      </c>
      <c r="E6" s="44">
        <v>0.56589519519719911</v>
      </c>
      <c r="F6" s="44">
        <v>6.6378142745996085E-2</v>
      </c>
      <c r="G6" s="44">
        <v>2.4306760283739024</v>
      </c>
      <c r="H6" s="44">
        <v>0.55327615152744902</v>
      </c>
      <c r="I6" s="44">
        <v>0.21951281441893775</v>
      </c>
      <c r="J6" s="44">
        <v>0.23603578673705575</v>
      </c>
      <c r="K6" s="44">
        <v>0</v>
      </c>
      <c r="L6" s="44">
        <v>0</v>
      </c>
      <c r="M6" s="44">
        <v>0</v>
      </c>
      <c r="N6" s="44">
        <v>0.20929575330087968</v>
      </c>
      <c r="O6" s="44">
        <v>0</v>
      </c>
      <c r="P6" s="11" t="s">
        <v>3</v>
      </c>
      <c r="Q6" s="11" t="s">
        <v>116</v>
      </c>
      <c r="R6" s="11"/>
    </row>
    <row r="7" spans="1:19" x14ac:dyDescent="0.25">
      <c r="A7" s="45">
        <v>40385</v>
      </c>
      <c r="B7" s="44">
        <v>50</v>
      </c>
      <c r="C7" s="44" t="s">
        <v>57</v>
      </c>
      <c r="D7" s="44">
        <v>0.75478527354024094</v>
      </c>
      <c r="E7" s="44">
        <v>4.1374107997109978E-2</v>
      </c>
      <c r="F7" s="44">
        <v>1.2948544346648614E-2</v>
      </c>
      <c r="G7" s="44">
        <v>1.4837566672863691</v>
      </c>
      <c r="H7" s="44">
        <v>0.27869989540973616</v>
      </c>
      <c r="I7" s="44">
        <v>1.1447566810376268</v>
      </c>
      <c r="J7" s="44">
        <v>0.22874612051409907</v>
      </c>
      <c r="K7" s="44">
        <v>0</v>
      </c>
      <c r="L7" s="44">
        <v>0</v>
      </c>
      <c r="M7" s="44">
        <v>0</v>
      </c>
      <c r="N7" s="44">
        <v>8.7518874705004066E-2</v>
      </c>
      <c r="O7" s="44">
        <v>0</v>
      </c>
      <c r="P7" s="11" t="s">
        <v>3</v>
      </c>
      <c r="Q7" s="11" t="s">
        <v>116</v>
      </c>
      <c r="R7" s="11"/>
    </row>
    <row r="8" spans="1:19" x14ac:dyDescent="0.25">
      <c r="A8" s="45">
        <v>40290</v>
      </c>
      <c r="B8" s="44">
        <v>25</v>
      </c>
      <c r="C8" s="44" t="s">
        <v>57</v>
      </c>
      <c r="D8">
        <v>1.8</v>
      </c>
      <c r="E8" s="20">
        <v>1.42</v>
      </c>
      <c r="F8" s="20">
        <v>0.06</v>
      </c>
      <c r="G8" s="20">
        <v>0.1</v>
      </c>
      <c r="H8" s="20">
        <v>0.12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0.36</v>
      </c>
      <c r="O8" s="20">
        <v>0</v>
      </c>
      <c r="P8" s="11" t="s">
        <v>4</v>
      </c>
      <c r="Q8" s="11" t="s">
        <v>117</v>
      </c>
      <c r="R8" s="11"/>
    </row>
    <row r="9" spans="1:19" x14ac:dyDescent="0.25">
      <c r="A9" s="45">
        <v>40336</v>
      </c>
      <c r="B9" s="44">
        <v>50</v>
      </c>
      <c r="C9" s="44" t="s">
        <v>57</v>
      </c>
      <c r="D9">
        <v>1.1100000000000001</v>
      </c>
      <c r="E9" s="20">
        <v>0.46</v>
      </c>
      <c r="F9" s="20">
        <v>0.03</v>
      </c>
      <c r="G9" s="20">
        <v>0.37</v>
      </c>
      <c r="H9" s="20">
        <v>0.98</v>
      </c>
      <c r="I9" s="20">
        <v>0.14000000000000001</v>
      </c>
      <c r="J9" s="20">
        <v>0.04</v>
      </c>
      <c r="K9" s="20">
        <v>0</v>
      </c>
      <c r="L9" s="20">
        <v>0</v>
      </c>
      <c r="M9" s="20">
        <v>0</v>
      </c>
      <c r="N9" s="20">
        <v>1.47</v>
      </c>
      <c r="O9" s="20">
        <v>0</v>
      </c>
      <c r="P9" s="11" t="s">
        <v>4</v>
      </c>
      <c r="Q9" s="11" t="s">
        <v>117</v>
      </c>
      <c r="R9" s="11"/>
    </row>
    <row r="10" spans="1:19" x14ac:dyDescent="0.25">
      <c r="A10" s="45">
        <v>40385</v>
      </c>
      <c r="B10" s="44">
        <v>50</v>
      </c>
      <c r="C10" s="44" t="s">
        <v>57</v>
      </c>
      <c r="D10">
        <v>0.3</v>
      </c>
      <c r="E10" s="20">
        <v>0.28999999999999998</v>
      </c>
      <c r="F10" s="20">
        <v>0</v>
      </c>
      <c r="G10" s="20">
        <v>0.23</v>
      </c>
      <c r="H10" s="20">
        <v>0.44</v>
      </c>
      <c r="I10" s="20">
        <v>0.68</v>
      </c>
      <c r="J10" s="20">
        <v>0.08</v>
      </c>
      <c r="K10" s="20">
        <v>0</v>
      </c>
      <c r="L10" s="20">
        <v>0</v>
      </c>
      <c r="M10" s="20">
        <v>0</v>
      </c>
      <c r="N10" s="20">
        <v>0.61</v>
      </c>
      <c r="O10" s="20">
        <v>0</v>
      </c>
      <c r="P10" s="11" t="s">
        <v>4</v>
      </c>
      <c r="Q10" s="11" t="s">
        <v>117</v>
      </c>
      <c r="R10" s="11"/>
    </row>
    <row r="11" spans="1:19" x14ac:dyDescent="0.25">
      <c r="A11" s="45">
        <v>40290</v>
      </c>
      <c r="B11" s="44">
        <v>25</v>
      </c>
      <c r="C11" s="44" t="s">
        <v>57</v>
      </c>
      <c r="D11">
        <v>4.6020000000000003</v>
      </c>
      <c r="E11" s="20">
        <v>0.20200000000000001</v>
      </c>
      <c r="F11" s="20">
        <v>0.218</v>
      </c>
      <c r="G11" s="20">
        <v>0.94599999999999995</v>
      </c>
      <c r="H11" s="20">
        <v>0.109</v>
      </c>
      <c r="I11" s="20">
        <v>2E-3</v>
      </c>
      <c r="J11" s="20">
        <v>7.0000000000000001E-3</v>
      </c>
      <c r="K11" s="20">
        <v>0</v>
      </c>
      <c r="L11" s="20">
        <v>0</v>
      </c>
      <c r="M11" s="20">
        <v>0</v>
      </c>
      <c r="N11" s="20">
        <v>5.1999999999999998E-2</v>
      </c>
      <c r="O11" s="20">
        <v>0</v>
      </c>
      <c r="P11" s="11" t="s">
        <v>3</v>
      </c>
      <c r="Q11" s="11" t="s">
        <v>117</v>
      </c>
      <c r="R11" s="11"/>
    </row>
    <row r="12" spans="1:19" x14ac:dyDescent="0.25">
      <c r="A12" s="45">
        <v>40336</v>
      </c>
      <c r="B12" s="44">
        <v>50</v>
      </c>
      <c r="C12" s="44" t="s">
        <v>57</v>
      </c>
      <c r="D12">
        <v>3.7639999999999998</v>
      </c>
      <c r="E12" s="20">
        <v>0.56599999999999995</v>
      </c>
      <c r="F12" s="20">
        <v>6.6000000000000003E-2</v>
      </c>
      <c r="G12" s="20">
        <v>2.431</v>
      </c>
      <c r="H12" s="20">
        <v>0.55300000000000005</v>
      </c>
      <c r="I12" s="20">
        <v>0.22</v>
      </c>
      <c r="J12" s="20">
        <v>0.23599999999999999</v>
      </c>
      <c r="K12" s="20">
        <v>0</v>
      </c>
      <c r="L12" s="20">
        <v>0</v>
      </c>
      <c r="M12" s="20">
        <v>0</v>
      </c>
      <c r="N12" s="20">
        <v>0.20899999999999999</v>
      </c>
      <c r="O12" s="20">
        <v>0</v>
      </c>
      <c r="P12" s="11" t="s">
        <v>3</v>
      </c>
      <c r="Q12" s="11" t="s">
        <v>117</v>
      </c>
      <c r="R12" s="11"/>
    </row>
    <row r="13" spans="1:19" x14ac:dyDescent="0.25">
      <c r="A13" s="45">
        <v>40385</v>
      </c>
      <c r="B13" s="44">
        <v>50</v>
      </c>
      <c r="C13" s="44" t="s">
        <v>57</v>
      </c>
      <c r="D13">
        <v>0.755</v>
      </c>
      <c r="E13" s="20">
        <v>4.1000000000000002E-2</v>
      </c>
      <c r="F13" s="20">
        <v>1.2999999999999999E-2</v>
      </c>
      <c r="G13" s="20">
        <v>1.484</v>
      </c>
      <c r="H13" s="20">
        <v>0.27900000000000003</v>
      </c>
      <c r="I13" s="20">
        <v>1.145</v>
      </c>
      <c r="J13" s="20">
        <v>0.22900000000000001</v>
      </c>
      <c r="K13" s="20">
        <v>0</v>
      </c>
      <c r="L13" s="20">
        <v>0</v>
      </c>
      <c r="M13" s="20">
        <v>0</v>
      </c>
      <c r="N13" s="20">
        <v>8.7999999999999995E-2</v>
      </c>
      <c r="O13" s="20">
        <v>0</v>
      </c>
      <c r="P13" s="11" t="s">
        <v>3</v>
      </c>
      <c r="Q13" s="11" t="s">
        <v>117</v>
      </c>
      <c r="R13" s="11"/>
    </row>
    <row r="14" spans="1:19" x14ac:dyDescent="0.25">
      <c r="A14" s="8"/>
      <c r="B14" s="9"/>
      <c r="C14" s="9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  <c r="R14" s="12"/>
    </row>
    <row r="15" spans="1:19" x14ac:dyDescent="0.25">
      <c r="A15" s="8"/>
      <c r="B15" s="9"/>
      <c r="C15" s="9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12"/>
    </row>
    <row r="16" spans="1:19" x14ac:dyDescent="0.25">
      <c r="A16" s="8"/>
      <c r="B16" s="9"/>
      <c r="C16" s="9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12"/>
    </row>
    <row r="17" spans="1:18" x14ac:dyDescent="0.25">
      <c r="A17" s="8"/>
      <c r="B17" s="9"/>
      <c r="C17" s="9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2"/>
    </row>
    <row r="18" spans="1:18" x14ac:dyDescent="0.25">
      <c r="A18" s="8"/>
      <c r="B18" s="9"/>
      <c r="C18" s="9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12"/>
    </row>
    <row r="19" spans="1:18" x14ac:dyDescent="0.25">
      <c r="A19" s="8"/>
      <c r="B19" s="9"/>
      <c r="C19" s="9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2"/>
    </row>
    <row r="20" spans="1:18" x14ac:dyDescent="0.25">
      <c r="A20" s="8"/>
      <c r="B20" s="9"/>
      <c r="C20" s="9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2"/>
    </row>
    <row r="21" spans="1:18" x14ac:dyDescent="0.25">
      <c r="A21" s="8"/>
      <c r="B21" s="9"/>
      <c r="C21" s="9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2"/>
    </row>
    <row r="22" spans="1:18" x14ac:dyDescent="0.25">
      <c r="A22" s="8"/>
      <c r="B22" s="9"/>
      <c r="C22" s="9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2"/>
    </row>
    <row r="23" spans="1:18" x14ac:dyDescent="0.25">
      <c r="A23" s="8"/>
      <c r="B23" s="9"/>
      <c r="C23" s="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2"/>
    </row>
    <row r="24" spans="1:18" x14ac:dyDescent="0.25">
      <c r="A24" s="8"/>
      <c r="B24" s="9"/>
      <c r="C24" s="9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2"/>
    </row>
    <row r="25" spans="1:18" x14ac:dyDescent="0.25">
      <c r="A25" s="8"/>
      <c r="B25" s="9"/>
      <c r="C25" s="9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0DE6-99F3-4C5A-8DBF-6AC294A3D232}">
  <dimension ref="A1:Q9"/>
  <sheetViews>
    <sheetView workbookViewId="0">
      <selection activeCell="T9" sqref="T9"/>
    </sheetView>
  </sheetViews>
  <sheetFormatPr defaultRowHeight="15" x14ac:dyDescent="0.25"/>
  <cols>
    <col min="1" max="1" width="12.28515625" style="14" bestFit="1" customWidth="1"/>
  </cols>
  <sheetData>
    <row r="1" spans="1:17" ht="70.5" x14ac:dyDescent="0.25">
      <c r="A1" s="14" t="s">
        <v>0</v>
      </c>
      <c r="B1" t="s">
        <v>1</v>
      </c>
      <c r="C1" s="41" t="s">
        <v>109</v>
      </c>
      <c r="D1" s="47" t="s">
        <v>7</v>
      </c>
      <c r="E1" s="42" t="s">
        <v>111</v>
      </c>
      <c r="F1" s="41" t="s">
        <v>110</v>
      </c>
      <c r="G1" s="47" t="s">
        <v>8</v>
      </c>
      <c r="H1" s="47" t="s">
        <v>9</v>
      </c>
      <c r="I1" s="47" t="s">
        <v>10</v>
      </c>
      <c r="J1" s="47" t="s">
        <v>11</v>
      </c>
      <c r="K1" s="47" t="s">
        <v>16</v>
      </c>
      <c r="L1" s="47" t="s">
        <v>13</v>
      </c>
      <c r="M1" s="47" t="s">
        <v>17</v>
      </c>
      <c r="N1" s="47" t="s">
        <v>18</v>
      </c>
      <c r="O1" s="47" t="s">
        <v>15</v>
      </c>
      <c r="P1" s="47" t="s">
        <v>40</v>
      </c>
      <c r="Q1" s="47" t="s">
        <v>2</v>
      </c>
    </row>
    <row r="2" spans="1:17" x14ac:dyDescent="0.25">
      <c r="A2" s="45">
        <v>40693</v>
      </c>
      <c r="B2" t="s">
        <v>57</v>
      </c>
      <c r="C2">
        <v>4.1120448413712527</v>
      </c>
      <c r="D2">
        <v>3.7703355627760948</v>
      </c>
      <c r="E2">
        <v>1.4019460771786353E-2</v>
      </c>
      <c r="F2">
        <v>9.4546748932130989E-4</v>
      </c>
      <c r="G2">
        <v>0.58362670402687011</v>
      </c>
      <c r="H2">
        <v>1.5741174108283745E-3</v>
      </c>
      <c r="I2">
        <v>0.16288773684786975</v>
      </c>
      <c r="J2">
        <v>0</v>
      </c>
      <c r="K2">
        <v>0</v>
      </c>
      <c r="L2">
        <v>0</v>
      </c>
      <c r="M2">
        <v>0</v>
      </c>
      <c r="N2">
        <v>1.0033996695995036</v>
      </c>
      <c r="O2">
        <v>9.3023255813953496E-5</v>
      </c>
      <c r="P2">
        <v>0</v>
      </c>
      <c r="Q2" t="s">
        <v>4</v>
      </c>
    </row>
    <row r="3" spans="1:17" x14ac:dyDescent="0.25">
      <c r="A3" s="45">
        <v>40728</v>
      </c>
      <c r="B3" t="s">
        <v>57</v>
      </c>
      <c r="C3">
        <v>5.1332535711879252</v>
      </c>
      <c r="D3">
        <v>12.729195644065188</v>
      </c>
      <c r="E3">
        <v>4.4914001110180606E-3</v>
      </c>
      <c r="F3">
        <v>1.3876808455340899E-3</v>
      </c>
      <c r="G3">
        <v>0.66113647039571843</v>
      </c>
      <c r="H3">
        <v>3.4161779946801175E-2</v>
      </c>
      <c r="I3">
        <v>0.57883039985753748</v>
      </c>
      <c r="J3">
        <v>3.6694677871148456E-4</v>
      </c>
      <c r="K3">
        <v>0</v>
      </c>
      <c r="L3">
        <v>0</v>
      </c>
      <c r="M3">
        <v>0</v>
      </c>
      <c r="N3">
        <v>2.3793099409294074</v>
      </c>
      <c r="O3">
        <v>1.1574074074074075E-4</v>
      </c>
      <c r="P3">
        <v>0</v>
      </c>
      <c r="Q3" t="s">
        <v>4</v>
      </c>
    </row>
    <row r="4" spans="1:17" x14ac:dyDescent="0.25">
      <c r="A4" s="45">
        <v>40771</v>
      </c>
      <c r="B4" t="s">
        <v>57</v>
      </c>
      <c r="C4">
        <v>1.8894165545883614</v>
      </c>
      <c r="D4">
        <v>7.5656654805046015</v>
      </c>
      <c r="E4">
        <v>3.7431196373644165E-3</v>
      </c>
      <c r="F4">
        <v>6.2053762302669534E-4</v>
      </c>
      <c r="G4">
        <v>2.202325585920474</v>
      </c>
      <c r="H4">
        <v>8.5530965782908475E-2</v>
      </c>
      <c r="I4">
        <v>0.4233310035574484</v>
      </c>
      <c r="J4">
        <v>2.9479551935841395E-3</v>
      </c>
      <c r="K4">
        <v>0</v>
      </c>
      <c r="L4">
        <v>0</v>
      </c>
      <c r="M4">
        <v>0</v>
      </c>
      <c r="N4">
        <v>2.2274198225011728</v>
      </c>
      <c r="O4">
        <v>0</v>
      </c>
      <c r="P4">
        <v>0</v>
      </c>
      <c r="Q4" t="s">
        <v>4</v>
      </c>
    </row>
    <row r="5" spans="1:17" x14ac:dyDescent="0.25">
      <c r="A5" s="45">
        <v>40820</v>
      </c>
      <c r="B5" t="s">
        <v>57</v>
      </c>
      <c r="C5">
        <v>0.3051992179773016</v>
      </c>
      <c r="D5">
        <v>6.0952999962235968</v>
      </c>
      <c r="E5">
        <v>1.0685480012446895E-2</v>
      </c>
      <c r="F5">
        <v>1.5193658123738309E-3</v>
      </c>
      <c r="G5">
        <v>1.1971121660325759</v>
      </c>
      <c r="H5">
        <v>0.21702518224750803</v>
      </c>
      <c r="I5">
        <v>0.59469667933137949</v>
      </c>
      <c r="J5">
        <v>5.3502824858757067E-4</v>
      </c>
      <c r="K5">
        <v>0</v>
      </c>
      <c r="L5">
        <v>0</v>
      </c>
      <c r="M5">
        <v>0</v>
      </c>
      <c r="N5">
        <v>10.32840272636761</v>
      </c>
      <c r="O5">
        <v>0</v>
      </c>
      <c r="P5">
        <v>0</v>
      </c>
      <c r="Q5" t="s">
        <v>4</v>
      </c>
    </row>
    <row r="6" spans="1:17" x14ac:dyDescent="0.25">
      <c r="A6" s="45">
        <v>40693</v>
      </c>
      <c r="B6" t="s">
        <v>57</v>
      </c>
      <c r="C6" s="44">
        <v>16.837347173471994</v>
      </c>
      <c r="D6" s="44">
        <v>0.67327420763858836</v>
      </c>
      <c r="E6" s="44">
        <v>0.43838781670986821</v>
      </c>
      <c r="F6" s="44">
        <v>1.4471370940402739E-2</v>
      </c>
      <c r="G6" s="44">
        <v>0.49423282738855828</v>
      </c>
      <c r="H6" s="44">
        <v>2.4826937419486069E-3</v>
      </c>
      <c r="I6" s="44">
        <v>0.70371544420221455</v>
      </c>
      <c r="J6" s="44">
        <v>0</v>
      </c>
      <c r="K6" s="44">
        <v>0</v>
      </c>
      <c r="L6" s="44">
        <v>0</v>
      </c>
      <c r="M6" s="44">
        <v>0</v>
      </c>
      <c r="N6" s="44">
        <v>8.9589256214241395E-2</v>
      </c>
      <c r="O6" s="44">
        <v>9.1694352159468456E-3</v>
      </c>
      <c r="P6" s="44">
        <v>0</v>
      </c>
      <c r="Q6" t="s">
        <v>3</v>
      </c>
    </row>
    <row r="7" spans="1:17" x14ac:dyDescent="0.25">
      <c r="A7" s="45">
        <v>40728</v>
      </c>
      <c r="B7" t="s">
        <v>57</v>
      </c>
      <c r="C7" s="44">
        <v>12.419946157844581</v>
      </c>
      <c r="D7" s="44">
        <v>1.8184565205807408</v>
      </c>
      <c r="E7" s="44">
        <v>6.3265207572146848E-2</v>
      </c>
      <c r="F7" s="44">
        <v>1.4391047140505689E-2</v>
      </c>
      <c r="G7" s="44">
        <v>0.38708638644461218</v>
      </c>
      <c r="H7" s="44">
        <v>4.4761784209674714E-2</v>
      </c>
      <c r="I7" s="44">
        <v>1.6297077772689834</v>
      </c>
      <c r="J7" s="44">
        <v>3.0252100840336129E-3</v>
      </c>
      <c r="K7" s="44">
        <v>0</v>
      </c>
      <c r="L7" s="44">
        <v>0</v>
      </c>
      <c r="M7" s="44">
        <v>0</v>
      </c>
      <c r="N7" s="44">
        <v>0.16995071006638623</v>
      </c>
      <c r="O7" s="44">
        <v>7.8835978835978832E-3</v>
      </c>
      <c r="P7" s="44">
        <v>0</v>
      </c>
      <c r="Q7" t="s">
        <v>3</v>
      </c>
    </row>
    <row r="8" spans="1:17" x14ac:dyDescent="0.25">
      <c r="A8" s="45">
        <v>40771</v>
      </c>
      <c r="B8" t="s">
        <v>57</v>
      </c>
      <c r="C8" s="44">
        <v>3.0981110624845449</v>
      </c>
      <c r="D8" s="44">
        <v>0.86464748348624021</v>
      </c>
      <c r="E8" s="44">
        <v>4.0968986331783808E-2</v>
      </c>
      <c r="F8" s="44">
        <v>4.4409175358665403E-3</v>
      </c>
      <c r="G8" s="44">
        <v>0.95594407737316922</v>
      </c>
      <c r="H8" s="44">
        <v>8.8246506448060619E-2</v>
      </c>
      <c r="I8" s="44">
        <v>0.96876530743553579</v>
      </c>
      <c r="J8" s="44">
        <v>5.4027806686864485E-3</v>
      </c>
      <c r="K8" s="44">
        <v>0</v>
      </c>
      <c r="L8" s="44">
        <v>0</v>
      </c>
      <c r="M8" s="44">
        <v>0</v>
      </c>
      <c r="N8" s="44">
        <v>6.60638288914151E-2</v>
      </c>
      <c r="O8" s="44">
        <v>0</v>
      </c>
      <c r="P8" s="44">
        <v>0</v>
      </c>
      <c r="Q8" t="s">
        <v>3</v>
      </c>
    </row>
    <row r="9" spans="1:17" x14ac:dyDescent="0.25">
      <c r="A9" s="45">
        <v>40820</v>
      </c>
      <c r="B9" t="s">
        <v>57</v>
      </c>
      <c r="C9" s="44">
        <v>0.90983997632874025</v>
      </c>
      <c r="D9" s="44">
        <v>0.87075714231765666</v>
      </c>
      <c r="E9" s="44">
        <v>0.10675968953961325</v>
      </c>
      <c r="F9" s="44">
        <v>1.0299740320870217E-2</v>
      </c>
      <c r="G9" s="44">
        <v>0.77785291930184919</v>
      </c>
      <c r="H9" s="44">
        <v>0.31828274945646967</v>
      </c>
      <c r="I9" s="44">
        <v>1.412044541665082</v>
      </c>
      <c r="J9" s="44">
        <v>3.4047619047619048E-3</v>
      </c>
      <c r="K9" s="44">
        <v>0</v>
      </c>
      <c r="L9" s="44">
        <v>0</v>
      </c>
      <c r="M9" s="44">
        <v>0</v>
      </c>
      <c r="N9" s="44">
        <v>0.73774305188340084</v>
      </c>
      <c r="O9" s="44">
        <v>0</v>
      </c>
      <c r="P9" s="44">
        <v>0</v>
      </c>
      <c r="Q9" t="s">
        <v>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C3B9-7BAE-4EA1-AEAF-6879C4BA1FE7}">
  <dimension ref="A1:Z9"/>
  <sheetViews>
    <sheetView workbookViewId="0">
      <selection activeCell="S16" sqref="S16"/>
    </sheetView>
  </sheetViews>
  <sheetFormatPr defaultRowHeight="15" x14ac:dyDescent="0.25"/>
  <cols>
    <col min="1" max="1" width="10" bestFit="1" customWidth="1"/>
  </cols>
  <sheetData>
    <row r="1" spans="1:26" ht="152.25" x14ac:dyDescent="0.25">
      <c r="A1" s="15" t="s">
        <v>6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12</v>
      </c>
      <c r="G1" s="16" t="s">
        <v>23</v>
      </c>
      <c r="H1" s="16" t="s">
        <v>24</v>
      </c>
      <c r="I1" s="16" t="s">
        <v>25</v>
      </c>
      <c r="J1" s="16" t="s">
        <v>26</v>
      </c>
      <c r="K1" s="17" t="s">
        <v>27</v>
      </c>
      <c r="L1" s="17" t="s">
        <v>28</v>
      </c>
      <c r="M1" s="16" t="s">
        <v>29</v>
      </c>
      <c r="N1" s="16" t="s">
        <v>30</v>
      </c>
      <c r="O1" s="17" t="s">
        <v>8</v>
      </c>
      <c r="P1" s="16" t="s">
        <v>31</v>
      </c>
      <c r="Q1" s="16" t="s">
        <v>32</v>
      </c>
      <c r="R1" s="17" t="s">
        <v>33</v>
      </c>
      <c r="S1" s="18" t="s">
        <v>34</v>
      </c>
      <c r="T1" s="16" t="s">
        <v>35</v>
      </c>
      <c r="U1" s="16" t="s">
        <v>36</v>
      </c>
      <c r="V1" s="16" t="s">
        <v>37</v>
      </c>
      <c r="W1" s="16" t="s">
        <v>38</v>
      </c>
      <c r="X1" s="16" t="s">
        <v>39</v>
      </c>
      <c r="Y1" s="16" t="s">
        <v>40</v>
      </c>
      <c r="Z1" s="16" t="s">
        <v>2</v>
      </c>
    </row>
    <row r="2" spans="1:26" x14ac:dyDescent="0.25">
      <c r="A2" s="19">
        <v>41064</v>
      </c>
      <c r="B2">
        <v>0.22900000000000001</v>
      </c>
      <c r="C2">
        <v>4.9000000000000002E-2</v>
      </c>
      <c r="D2">
        <v>5.0000000000000001E-3</v>
      </c>
      <c r="G2">
        <v>5.5E-2</v>
      </c>
      <c r="H2">
        <v>1E-3</v>
      </c>
      <c r="I2">
        <v>0.751</v>
      </c>
      <c r="K2">
        <v>5.4770000000000003</v>
      </c>
      <c r="L2">
        <v>0.22500000000000001</v>
      </c>
      <c r="N2">
        <v>4.5999999999999999E-2</v>
      </c>
      <c r="O2">
        <v>6.2E-2</v>
      </c>
      <c r="R2">
        <v>3.5999999999999997E-2</v>
      </c>
      <c r="U2">
        <v>6.5000000000000002E-2</v>
      </c>
      <c r="Z2" t="s">
        <v>3</v>
      </c>
    </row>
    <row r="3" spans="1:26" x14ac:dyDescent="0.25">
      <c r="A3" s="19">
        <v>41106</v>
      </c>
      <c r="B3">
        <v>3.7890000000000001</v>
      </c>
      <c r="C3">
        <v>0.115</v>
      </c>
      <c r="D3">
        <v>2.7570000000000001</v>
      </c>
      <c r="G3">
        <v>0.76300000000000001</v>
      </c>
      <c r="H3">
        <v>0.47199999999999998</v>
      </c>
      <c r="I3">
        <v>0.22800000000000001</v>
      </c>
      <c r="J3">
        <v>8.9999999999999993E-3</v>
      </c>
      <c r="K3">
        <v>1.6140000000000001</v>
      </c>
      <c r="L3">
        <v>0.33900000000000002</v>
      </c>
      <c r="N3">
        <v>6.8000000000000005E-2</v>
      </c>
      <c r="O3">
        <v>0.13100000000000001</v>
      </c>
      <c r="R3">
        <v>6.8000000000000005E-2</v>
      </c>
      <c r="U3">
        <v>0.222</v>
      </c>
      <c r="Z3" t="s">
        <v>3</v>
      </c>
    </row>
    <row r="4" spans="1:26" x14ac:dyDescent="0.25">
      <c r="A4" s="19">
        <v>41141</v>
      </c>
      <c r="C4">
        <v>3.9E-2</v>
      </c>
      <c r="D4">
        <v>1.2999999999999999E-2</v>
      </c>
      <c r="G4">
        <v>4.9000000000000002E-2</v>
      </c>
      <c r="H4">
        <v>6.4000000000000001E-2</v>
      </c>
      <c r="I4">
        <v>4.3999999999999997E-2</v>
      </c>
      <c r="J4">
        <v>3.3000000000000002E-2</v>
      </c>
      <c r="K4">
        <v>2.0640000000000001</v>
      </c>
      <c r="L4">
        <v>0.46200000000000002</v>
      </c>
      <c r="O4">
        <v>1.1839999999999999</v>
      </c>
      <c r="R4">
        <v>8.0000000000000002E-3</v>
      </c>
      <c r="U4">
        <v>2.718</v>
      </c>
      <c r="Z4" t="s">
        <v>3</v>
      </c>
    </row>
    <row r="5" spans="1:26" x14ac:dyDescent="0.25">
      <c r="A5" s="19">
        <v>41176</v>
      </c>
      <c r="C5">
        <v>6.3E-2</v>
      </c>
      <c r="D5">
        <v>6.0000000000000001E-3</v>
      </c>
      <c r="G5">
        <v>0.10199999999999999</v>
      </c>
      <c r="H5">
        <v>7.9000000000000001E-2</v>
      </c>
      <c r="I5">
        <v>0.104</v>
      </c>
      <c r="J5">
        <v>0.125</v>
      </c>
      <c r="K5">
        <v>1.528</v>
      </c>
      <c r="L5">
        <v>5.8760000000000003</v>
      </c>
      <c r="N5">
        <v>9.9000000000000005E-2</v>
      </c>
      <c r="O5">
        <v>6.29</v>
      </c>
      <c r="R5">
        <v>0.218</v>
      </c>
      <c r="U5">
        <v>1.8169999999999999</v>
      </c>
      <c r="V5">
        <v>0.32</v>
      </c>
      <c r="Z5" t="s">
        <v>3</v>
      </c>
    </row>
    <row r="6" spans="1:26" x14ac:dyDescent="0.25">
      <c r="A6" s="19">
        <v>41064</v>
      </c>
      <c r="B6" s="12">
        <v>0.3095</v>
      </c>
      <c r="C6" s="12">
        <v>0.47620000000000001</v>
      </c>
      <c r="D6" s="12">
        <v>7.1400000000000005E-2</v>
      </c>
      <c r="E6" s="12"/>
      <c r="F6" s="12"/>
      <c r="G6" s="12">
        <v>0.27160000000000001</v>
      </c>
      <c r="H6" s="12">
        <v>5.0000000000000001E-3</v>
      </c>
      <c r="I6" s="12">
        <v>0.54759999999999998</v>
      </c>
      <c r="J6" s="12"/>
      <c r="K6" s="12">
        <v>1.2381</v>
      </c>
      <c r="L6" s="12">
        <v>3.2500000000000001E-2</v>
      </c>
      <c r="M6" s="12"/>
      <c r="N6" s="12">
        <v>2.5000000000000001E-3</v>
      </c>
      <c r="O6" s="12">
        <v>0.02</v>
      </c>
      <c r="P6" s="12"/>
      <c r="Q6" s="12"/>
      <c r="R6" s="12">
        <v>7.4999999999999997E-2</v>
      </c>
      <c r="S6" s="12"/>
      <c r="T6" s="12"/>
      <c r="U6" s="12">
        <v>0.02</v>
      </c>
      <c r="V6" s="12"/>
      <c r="W6" s="12"/>
      <c r="X6" s="12"/>
      <c r="Y6" s="12"/>
      <c r="Z6" t="s">
        <v>4</v>
      </c>
    </row>
    <row r="7" spans="1:26" x14ac:dyDescent="0.25">
      <c r="A7" s="19">
        <v>41106</v>
      </c>
      <c r="B7" s="12">
        <v>6.6666999999999996</v>
      </c>
      <c r="C7" s="12">
        <v>1.3332999999999999</v>
      </c>
      <c r="D7" s="12">
        <v>42.222200000000001</v>
      </c>
      <c r="E7" s="12"/>
      <c r="F7" s="12"/>
      <c r="G7" s="12">
        <v>6</v>
      </c>
      <c r="H7" s="12">
        <v>2</v>
      </c>
      <c r="I7" s="12">
        <v>0.2258</v>
      </c>
      <c r="J7" s="12">
        <v>5.0000000000000001E-3</v>
      </c>
      <c r="K7" s="12">
        <v>0.3871</v>
      </c>
      <c r="L7" s="12">
        <v>7.0000000000000007E-2</v>
      </c>
      <c r="M7" s="12"/>
      <c r="N7" s="12">
        <v>2.5000000000000001E-3</v>
      </c>
      <c r="O7" s="12">
        <v>6.25E-2</v>
      </c>
      <c r="P7" s="12"/>
      <c r="Q7" s="12"/>
      <c r="R7" s="12">
        <v>1.4999999999999999E-2</v>
      </c>
      <c r="S7" s="12"/>
      <c r="T7" s="12"/>
      <c r="U7" s="12">
        <v>8.2500000000000004E-2</v>
      </c>
      <c r="V7" s="12"/>
      <c r="W7" s="12"/>
      <c r="X7" s="12"/>
      <c r="Y7" s="12"/>
      <c r="Z7" t="s">
        <v>4</v>
      </c>
    </row>
    <row r="8" spans="1:26" x14ac:dyDescent="0.25">
      <c r="A8" s="19">
        <v>41141</v>
      </c>
      <c r="B8" s="12"/>
      <c r="C8" s="12">
        <v>0.39579999999999999</v>
      </c>
      <c r="D8" s="12">
        <v>0.1867</v>
      </c>
      <c r="E8" s="12"/>
      <c r="F8" s="12"/>
      <c r="G8" s="12">
        <v>0.33329999999999999</v>
      </c>
      <c r="H8" s="12">
        <v>0.25330000000000003</v>
      </c>
      <c r="I8" s="12">
        <v>0.04</v>
      </c>
      <c r="J8" s="12">
        <v>2.1600000000000001E-2</v>
      </c>
      <c r="K8" s="12">
        <v>0.42670000000000002</v>
      </c>
      <c r="L8" s="12">
        <v>6.2199999999999998E-2</v>
      </c>
      <c r="M8" s="12"/>
      <c r="N8" s="12"/>
      <c r="O8" s="12">
        <v>0.46029999999999999</v>
      </c>
      <c r="P8" s="12"/>
      <c r="Q8" s="12"/>
      <c r="R8" s="12">
        <v>2.5000000000000001E-3</v>
      </c>
      <c r="S8" s="12"/>
      <c r="T8" s="12"/>
      <c r="U8" s="12">
        <v>0.45329999999999998</v>
      </c>
      <c r="V8" s="12"/>
      <c r="W8" s="12"/>
      <c r="X8" s="12"/>
      <c r="Y8" s="12"/>
      <c r="Z8" t="s">
        <v>4</v>
      </c>
    </row>
    <row r="9" spans="1:26" x14ac:dyDescent="0.25">
      <c r="A9" s="19">
        <v>41176</v>
      </c>
      <c r="B9" s="12"/>
      <c r="C9" s="12">
        <v>0.7</v>
      </c>
      <c r="D9" s="12">
        <v>0.15</v>
      </c>
      <c r="E9" s="12"/>
      <c r="F9" s="12"/>
      <c r="G9" s="12">
        <v>0.63329999999999997</v>
      </c>
      <c r="H9" s="12">
        <v>0.33329999999999999</v>
      </c>
      <c r="I9" s="12">
        <v>9.6299999999999997E-2</v>
      </c>
      <c r="J9" s="12">
        <v>0.1143</v>
      </c>
      <c r="K9" s="12">
        <v>0.31109999999999999</v>
      </c>
      <c r="L9" s="12">
        <v>1.0166999999999999</v>
      </c>
      <c r="M9" s="12"/>
      <c r="N9" s="12">
        <v>2.5000000000000001E-3</v>
      </c>
      <c r="O9" s="12">
        <v>2.4167000000000001</v>
      </c>
      <c r="P9" s="12"/>
      <c r="Q9" s="12"/>
      <c r="R9" s="12">
        <v>7.7799999999999994E-2</v>
      </c>
      <c r="S9" s="12"/>
      <c r="T9" s="12"/>
      <c r="U9" s="12">
        <v>0.21479999999999999</v>
      </c>
      <c r="V9" s="12">
        <v>8.5199999999999998E-2</v>
      </c>
      <c r="W9" s="12"/>
      <c r="X9" s="12"/>
      <c r="Y9" s="12"/>
      <c r="Z9" t="s">
        <v>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DA5C-1514-4454-AD4E-BBB9C00B7D49}">
  <dimension ref="A1:P134"/>
  <sheetViews>
    <sheetView tabSelected="1" topLeftCell="F1" zoomScale="110" zoomScaleNormal="110" workbookViewId="0">
      <pane ySplit="1" topLeftCell="A85" activePane="bottomLeft" state="frozen"/>
      <selection activeCell="D1" sqref="D1"/>
      <selection pane="bottomLeft" activeCell="D86" sqref="A86:XFD86"/>
    </sheetView>
  </sheetViews>
  <sheetFormatPr defaultRowHeight="15" x14ac:dyDescent="0.25"/>
  <cols>
    <col min="1" max="1" width="5" bestFit="1" customWidth="1"/>
    <col min="2" max="2" width="7.28515625" bestFit="1" customWidth="1"/>
    <col min="3" max="3" width="12" bestFit="1" customWidth="1"/>
    <col min="4" max="4" width="7.28515625" bestFit="1" customWidth="1"/>
    <col min="5" max="5" width="17.7109375" bestFit="1" customWidth="1"/>
    <col min="6" max="6" width="13.5703125" bestFit="1" customWidth="1"/>
    <col min="7" max="7" width="16.28515625" bestFit="1" customWidth="1"/>
    <col min="8" max="8" width="11.7109375" bestFit="1" customWidth="1"/>
    <col min="9" max="9" width="12.42578125" bestFit="1" customWidth="1"/>
    <col min="10" max="10" width="11.140625" bestFit="1" customWidth="1"/>
    <col min="11" max="11" width="16.5703125" bestFit="1" customWidth="1"/>
    <col min="12" max="12" width="10" bestFit="1" customWidth="1"/>
    <col min="13" max="13" width="12.28515625" bestFit="1" customWidth="1"/>
    <col min="14" max="14" width="18" bestFit="1" customWidth="1"/>
    <col min="15" max="15" width="17" bestFit="1" customWidth="1"/>
    <col min="16" max="16" width="14.140625" bestFit="1" customWidth="1"/>
    <col min="17" max="17" width="7.7109375" bestFit="1" customWidth="1"/>
  </cols>
  <sheetData>
    <row r="1" spans="1:16" x14ac:dyDescent="0.25">
      <c r="A1" t="s">
        <v>41</v>
      </c>
      <c r="B1" t="s">
        <v>1</v>
      </c>
      <c r="C1" s="14" t="s">
        <v>42</v>
      </c>
      <c r="D1" t="s">
        <v>43</v>
      </c>
      <c r="E1" t="s">
        <v>44</v>
      </c>
      <c r="F1" t="s">
        <v>45</v>
      </c>
      <c r="G1" s="20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</row>
    <row r="2" spans="1:16" x14ac:dyDescent="0.25">
      <c r="A2" t="s">
        <v>56</v>
      </c>
      <c r="B2" t="s">
        <v>57</v>
      </c>
      <c r="C2" s="8">
        <v>41410</v>
      </c>
      <c r="E2">
        <v>400</v>
      </c>
      <c r="H2" s="8">
        <v>41575</v>
      </c>
      <c r="I2" t="s">
        <v>58</v>
      </c>
      <c r="J2" t="s">
        <v>70</v>
      </c>
      <c r="K2">
        <v>0.1275</v>
      </c>
      <c r="L2">
        <v>3</v>
      </c>
      <c r="M2">
        <v>5.8823529411764705E-2</v>
      </c>
      <c r="N2">
        <v>0.43634513963246313</v>
      </c>
      <c r="O2">
        <v>0.66912867230734818</v>
      </c>
      <c r="P2">
        <v>3.9360510135726362E-5</v>
      </c>
    </row>
    <row r="3" spans="1:16" x14ac:dyDescent="0.25">
      <c r="A3" t="s">
        <v>56</v>
      </c>
      <c r="B3" t="s">
        <v>57</v>
      </c>
      <c r="C3" s="8">
        <v>41410</v>
      </c>
      <c r="E3">
        <v>400</v>
      </c>
      <c r="H3" s="8">
        <v>41575</v>
      </c>
      <c r="I3" t="s">
        <v>59</v>
      </c>
      <c r="J3" t="s">
        <v>70</v>
      </c>
      <c r="K3">
        <v>0.1275</v>
      </c>
      <c r="L3">
        <v>16</v>
      </c>
      <c r="M3">
        <v>0.31372549019607843</v>
      </c>
      <c r="N3">
        <v>0.16492903907441375</v>
      </c>
      <c r="O3">
        <v>0.14507068124396588</v>
      </c>
      <c r="P3">
        <v>4.5512370586342233E-5</v>
      </c>
    </row>
    <row r="4" spans="1:16" x14ac:dyDescent="0.25">
      <c r="A4" t="s">
        <v>56</v>
      </c>
      <c r="B4" t="s">
        <v>57</v>
      </c>
      <c r="C4" s="8">
        <v>41410</v>
      </c>
      <c r="E4">
        <v>400</v>
      </c>
      <c r="H4" s="8">
        <v>41575</v>
      </c>
      <c r="I4" t="s">
        <v>60</v>
      </c>
      <c r="J4" t="s">
        <v>70</v>
      </c>
      <c r="K4">
        <v>0.1275</v>
      </c>
      <c r="L4">
        <v>18</v>
      </c>
      <c r="M4">
        <v>0.35294117647058826</v>
      </c>
      <c r="N4">
        <v>0.22684103676468037</v>
      </c>
      <c r="O4">
        <v>0.23246596601731934</v>
      </c>
      <c r="P4">
        <v>8.2046811535524484E-5</v>
      </c>
    </row>
    <row r="5" spans="1:16" x14ac:dyDescent="0.25">
      <c r="A5" t="s">
        <v>56</v>
      </c>
      <c r="B5" t="s">
        <v>57</v>
      </c>
      <c r="C5" s="8">
        <v>41410</v>
      </c>
      <c r="E5">
        <v>400</v>
      </c>
      <c r="H5" s="8">
        <v>41575</v>
      </c>
      <c r="I5" t="s">
        <v>61</v>
      </c>
      <c r="J5" t="s">
        <v>70</v>
      </c>
      <c r="K5">
        <v>0.27750000000000002</v>
      </c>
      <c r="L5">
        <v>11</v>
      </c>
      <c r="M5">
        <v>9.9099099099099086E-2</v>
      </c>
      <c r="N5">
        <v>0.22709933953770201</v>
      </c>
      <c r="O5">
        <v>0.26098151310078016</v>
      </c>
      <c r="P5">
        <v>2.5863032829807039E-5</v>
      </c>
    </row>
    <row r="6" spans="1:16" x14ac:dyDescent="0.25">
      <c r="A6" t="s">
        <v>56</v>
      </c>
      <c r="B6" t="s">
        <v>57</v>
      </c>
      <c r="C6" s="8">
        <v>41410</v>
      </c>
      <c r="E6">
        <v>400</v>
      </c>
      <c r="H6" s="8">
        <v>41575</v>
      </c>
      <c r="I6" t="s">
        <v>62</v>
      </c>
      <c r="J6" t="s">
        <v>70</v>
      </c>
      <c r="K6">
        <v>0.09</v>
      </c>
      <c r="L6">
        <v>28</v>
      </c>
      <c r="M6">
        <v>0.77777777777777779</v>
      </c>
      <c r="N6">
        <v>0.54599569618690891</v>
      </c>
      <c r="O6">
        <v>1.3360607116027625</v>
      </c>
      <c r="P6">
        <v>1.039158331246593E-3</v>
      </c>
    </row>
    <row r="7" spans="1:16" x14ac:dyDescent="0.25">
      <c r="A7" t="s">
        <v>56</v>
      </c>
      <c r="B7" t="s">
        <v>57</v>
      </c>
      <c r="C7" s="8">
        <v>41410</v>
      </c>
      <c r="E7">
        <v>400</v>
      </c>
      <c r="H7" s="8">
        <v>41575</v>
      </c>
      <c r="I7" t="s">
        <v>63</v>
      </c>
      <c r="J7" t="s">
        <v>70</v>
      </c>
      <c r="K7">
        <v>0.1275</v>
      </c>
      <c r="L7">
        <v>36</v>
      </c>
      <c r="M7">
        <v>0.70588235294117652</v>
      </c>
      <c r="N7">
        <v>0.82268057402020167</v>
      </c>
      <c r="O7">
        <v>3.9422213928537948</v>
      </c>
      <c r="P7">
        <v>2.7827445126026792E-3</v>
      </c>
    </row>
    <row r="8" spans="1:16" x14ac:dyDescent="0.25">
      <c r="A8" t="s">
        <v>56</v>
      </c>
      <c r="B8" t="s">
        <v>57</v>
      </c>
      <c r="C8" s="8">
        <v>41410</v>
      </c>
      <c r="E8">
        <v>400</v>
      </c>
      <c r="H8" s="8">
        <v>41575</v>
      </c>
      <c r="I8" t="s">
        <v>64</v>
      </c>
      <c r="J8" t="s">
        <v>70</v>
      </c>
      <c r="K8">
        <v>1</v>
      </c>
      <c r="L8">
        <v>24</v>
      </c>
      <c r="M8">
        <v>0.06</v>
      </c>
      <c r="N8">
        <v>0.99871031815845368</v>
      </c>
      <c r="O8">
        <v>5.5904671185674895</v>
      </c>
      <c r="P8">
        <v>3.3542802711404937E-4</v>
      </c>
    </row>
    <row r="9" spans="1:16" x14ac:dyDescent="0.25">
      <c r="A9" t="s">
        <v>56</v>
      </c>
      <c r="B9" t="s">
        <v>57</v>
      </c>
      <c r="C9" s="8">
        <v>41410</v>
      </c>
      <c r="E9">
        <v>400</v>
      </c>
      <c r="H9" s="8">
        <v>41575</v>
      </c>
      <c r="I9" t="s">
        <v>65</v>
      </c>
      <c r="J9" t="s">
        <v>70</v>
      </c>
      <c r="K9">
        <v>1</v>
      </c>
      <c r="L9">
        <v>11</v>
      </c>
      <c r="M9">
        <v>2.75E-2</v>
      </c>
      <c r="N9">
        <v>0.63897661109255866</v>
      </c>
      <c r="O9">
        <v>1.8902253984789361</v>
      </c>
      <c r="P9">
        <v>5.1981198458170744E-5</v>
      </c>
    </row>
    <row r="10" spans="1:16" x14ac:dyDescent="0.25">
      <c r="A10" t="s">
        <v>56</v>
      </c>
      <c r="B10" t="s">
        <v>57</v>
      </c>
      <c r="C10" s="8">
        <v>41410</v>
      </c>
      <c r="E10">
        <v>400</v>
      </c>
      <c r="H10" s="8">
        <v>41575</v>
      </c>
      <c r="I10" t="s">
        <v>66</v>
      </c>
      <c r="J10" t="s">
        <v>70</v>
      </c>
      <c r="K10">
        <v>1</v>
      </c>
      <c r="L10">
        <v>15</v>
      </c>
      <c r="M10">
        <v>3.7499999999999999E-2</v>
      </c>
      <c r="N10">
        <v>1.0209814806418662</v>
      </c>
      <c r="O10">
        <v>6.0610769052400029</v>
      </c>
      <c r="P10">
        <v>2.2729038394650008E-4</v>
      </c>
    </row>
    <row r="11" spans="1:16" x14ac:dyDescent="0.25">
      <c r="A11" t="s">
        <v>56</v>
      </c>
      <c r="B11" t="s">
        <v>57</v>
      </c>
      <c r="C11" s="8">
        <v>41410</v>
      </c>
      <c r="E11">
        <v>400</v>
      </c>
      <c r="H11" s="8">
        <v>41575</v>
      </c>
      <c r="I11" t="s">
        <v>67</v>
      </c>
      <c r="J11" t="s">
        <v>70</v>
      </c>
      <c r="K11">
        <v>0.27750000000000002</v>
      </c>
      <c r="L11">
        <v>28</v>
      </c>
      <c r="M11">
        <v>0.25225225225225223</v>
      </c>
      <c r="N11">
        <v>0.33655154978990443</v>
      </c>
      <c r="O11">
        <v>1.6657576512359342</v>
      </c>
      <c r="P11">
        <v>4.2019111923068608E-4</v>
      </c>
    </row>
    <row r="12" spans="1:16" x14ac:dyDescent="0.25">
      <c r="A12" t="s">
        <v>56</v>
      </c>
      <c r="B12" t="s">
        <v>57</v>
      </c>
      <c r="C12" s="8">
        <v>41410</v>
      </c>
      <c r="E12">
        <v>400</v>
      </c>
      <c r="H12" s="8">
        <v>41575</v>
      </c>
      <c r="I12" t="s">
        <v>68</v>
      </c>
      <c r="J12" t="s">
        <v>70</v>
      </c>
      <c r="K12">
        <v>1</v>
      </c>
      <c r="L12">
        <v>4</v>
      </c>
      <c r="M12">
        <v>0.01</v>
      </c>
      <c r="N12">
        <v>0.7466538410308704</v>
      </c>
      <c r="O12">
        <v>2.2648092505879376</v>
      </c>
      <c r="P12">
        <v>2.2648092505879375E-5</v>
      </c>
    </row>
    <row r="13" spans="1:16" x14ac:dyDescent="0.25">
      <c r="A13" t="s">
        <v>56</v>
      </c>
      <c r="B13" t="s">
        <v>57</v>
      </c>
      <c r="C13" s="8">
        <v>41410</v>
      </c>
      <c r="E13">
        <v>400</v>
      </c>
      <c r="H13" s="8">
        <v>41575</v>
      </c>
      <c r="I13" t="s">
        <v>69</v>
      </c>
      <c r="J13" t="s">
        <v>70</v>
      </c>
      <c r="K13">
        <v>1</v>
      </c>
      <c r="L13">
        <v>3</v>
      </c>
      <c r="M13">
        <v>7.4999999999999997E-3</v>
      </c>
      <c r="N13">
        <v>0.57695958576183093</v>
      </c>
      <c r="O13">
        <v>2.1557840023154595</v>
      </c>
      <c r="P13">
        <v>1.6168380017365945E-5</v>
      </c>
    </row>
    <row r="14" spans="1:16" x14ac:dyDescent="0.25">
      <c r="A14" t="s">
        <v>56</v>
      </c>
      <c r="B14" t="s">
        <v>57</v>
      </c>
      <c r="C14" s="8">
        <v>41410</v>
      </c>
      <c r="E14">
        <v>400</v>
      </c>
      <c r="H14" s="8">
        <v>41575</v>
      </c>
      <c r="I14" t="s">
        <v>67</v>
      </c>
      <c r="J14" t="s">
        <v>77</v>
      </c>
      <c r="K14" s="13">
        <v>0.27750000000000002</v>
      </c>
      <c r="L14">
        <v>5</v>
      </c>
      <c r="M14" s="12">
        <v>4.5045045045045036E-2</v>
      </c>
      <c r="N14">
        <f>L14/K14</f>
        <v>18.018018018018015</v>
      </c>
    </row>
    <row r="15" spans="1:16" x14ac:dyDescent="0.25">
      <c r="A15" t="s">
        <v>56</v>
      </c>
      <c r="B15" t="s">
        <v>57</v>
      </c>
      <c r="C15" s="8">
        <v>41410</v>
      </c>
      <c r="E15">
        <v>400</v>
      </c>
      <c r="H15" s="8">
        <v>41575</v>
      </c>
      <c r="I15" t="s">
        <v>71</v>
      </c>
      <c r="J15" t="s">
        <v>77</v>
      </c>
      <c r="K15" s="13">
        <f>VLOOKUP(I15,FractionAnalyzed,8,FALSE)</f>
        <v>0.27750000000000002</v>
      </c>
      <c r="M15" s="12"/>
    </row>
    <row r="16" spans="1:16" x14ac:dyDescent="0.25">
      <c r="A16" t="s">
        <v>56</v>
      </c>
      <c r="B16" t="s">
        <v>57</v>
      </c>
      <c r="C16" s="8">
        <v>41410</v>
      </c>
      <c r="E16">
        <v>400</v>
      </c>
      <c r="H16" s="8">
        <v>41575</v>
      </c>
      <c r="I16" t="s">
        <v>72</v>
      </c>
      <c r="J16" t="s">
        <v>77</v>
      </c>
      <c r="K16" s="13">
        <f>VLOOKUP(I16,FractionAnalyzed,8,FALSE)</f>
        <v>0.27750000000000002</v>
      </c>
      <c r="M16" s="12"/>
    </row>
    <row r="17" spans="1:16" x14ac:dyDescent="0.25">
      <c r="A17" t="s">
        <v>56</v>
      </c>
      <c r="B17" t="s">
        <v>57</v>
      </c>
      <c r="C17" s="8">
        <v>41442</v>
      </c>
      <c r="E17">
        <v>400</v>
      </c>
      <c r="H17" s="21">
        <v>41628</v>
      </c>
      <c r="I17" t="s">
        <v>58</v>
      </c>
      <c r="J17" t="s">
        <v>70</v>
      </c>
      <c r="K17">
        <v>0.03</v>
      </c>
      <c r="L17">
        <v>1</v>
      </c>
      <c r="M17">
        <v>8.3333333333333329E-2</v>
      </c>
      <c r="N17">
        <v>0.14407519100157937</v>
      </c>
      <c r="O17">
        <v>0.10923066880090877</v>
      </c>
      <c r="P17">
        <v>9.1025557334090645E-6</v>
      </c>
    </row>
    <row r="18" spans="1:16" x14ac:dyDescent="0.25">
      <c r="A18" t="s">
        <v>56</v>
      </c>
      <c r="B18" t="s">
        <v>57</v>
      </c>
      <c r="C18" s="8">
        <v>41442</v>
      </c>
      <c r="E18">
        <v>400</v>
      </c>
      <c r="H18" s="21">
        <v>41628</v>
      </c>
      <c r="I18" t="s">
        <v>59</v>
      </c>
      <c r="J18" t="s">
        <v>70</v>
      </c>
      <c r="K18">
        <v>0.03</v>
      </c>
      <c r="L18">
        <v>20</v>
      </c>
      <c r="M18">
        <v>1.6666666666666667</v>
      </c>
      <c r="N18">
        <v>0.12924678676407075</v>
      </c>
      <c r="O18">
        <v>9.2256097449731678E-2</v>
      </c>
      <c r="P18">
        <v>1.5376016241621949E-4</v>
      </c>
    </row>
    <row r="19" spans="1:16" x14ac:dyDescent="0.25">
      <c r="A19" t="s">
        <v>56</v>
      </c>
      <c r="B19" t="s">
        <v>57</v>
      </c>
      <c r="C19" s="8">
        <v>41442</v>
      </c>
      <c r="E19">
        <v>400</v>
      </c>
      <c r="H19" s="21">
        <v>41628</v>
      </c>
      <c r="I19" t="s">
        <v>60</v>
      </c>
      <c r="J19" t="s">
        <v>70</v>
      </c>
      <c r="K19">
        <v>5.2499999999999998E-2</v>
      </c>
      <c r="L19">
        <v>20</v>
      </c>
      <c r="M19">
        <v>0.95238095238095233</v>
      </c>
      <c r="N19">
        <v>0.17157506806546069</v>
      </c>
      <c r="O19">
        <v>0.1488777433066884</v>
      </c>
      <c r="P19">
        <v>1.4178832695875085E-4</v>
      </c>
    </row>
    <row r="20" spans="1:16" x14ac:dyDescent="0.25">
      <c r="A20" t="s">
        <v>56</v>
      </c>
      <c r="B20" t="s">
        <v>57</v>
      </c>
      <c r="C20" s="8">
        <v>41442</v>
      </c>
      <c r="E20">
        <v>400</v>
      </c>
      <c r="H20" s="21">
        <v>41628</v>
      </c>
      <c r="I20" t="s">
        <v>61</v>
      </c>
      <c r="J20" t="s">
        <v>70</v>
      </c>
      <c r="K20">
        <v>0.17749999999999999</v>
      </c>
      <c r="L20">
        <v>26</v>
      </c>
      <c r="M20">
        <v>0.36619718309859156</v>
      </c>
      <c r="N20">
        <v>0.19373862233309685</v>
      </c>
      <c r="O20">
        <v>0.19398423112745228</v>
      </c>
      <c r="P20">
        <v>7.1036479004419139E-5</v>
      </c>
    </row>
    <row r="21" spans="1:16" x14ac:dyDescent="0.25">
      <c r="A21" t="s">
        <v>56</v>
      </c>
      <c r="B21" t="s">
        <v>57</v>
      </c>
      <c r="C21" s="8">
        <v>41442</v>
      </c>
      <c r="E21">
        <v>400</v>
      </c>
      <c r="H21" s="21">
        <v>41628</v>
      </c>
      <c r="I21" t="s">
        <v>62</v>
      </c>
      <c r="J21" t="s">
        <v>70</v>
      </c>
      <c r="K21">
        <v>0.10249999999999999</v>
      </c>
      <c r="L21">
        <v>22</v>
      </c>
      <c r="M21">
        <v>0.53658536585365857</v>
      </c>
      <c r="N21">
        <v>0.48927867708866396</v>
      </c>
      <c r="O21">
        <v>1.0433185243954777</v>
      </c>
      <c r="P21">
        <v>5.5982945211464658E-4</v>
      </c>
    </row>
    <row r="22" spans="1:16" x14ac:dyDescent="0.25">
      <c r="A22" t="s">
        <v>56</v>
      </c>
      <c r="B22" t="s">
        <v>57</v>
      </c>
      <c r="C22" s="8">
        <v>41442</v>
      </c>
      <c r="E22">
        <v>400</v>
      </c>
      <c r="H22" s="21">
        <v>41628</v>
      </c>
      <c r="I22" t="s">
        <v>73</v>
      </c>
      <c r="J22" t="s">
        <v>70</v>
      </c>
      <c r="K22">
        <v>0.42749999999999999</v>
      </c>
      <c r="L22">
        <v>8</v>
      </c>
      <c r="M22">
        <v>4.6783625730994149E-2</v>
      </c>
      <c r="N22">
        <v>0.50671450048637856</v>
      </c>
      <c r="O22">
        <v>1.0792344422368556</v>
      </c>
      <c r="P22">
        <v>5.0490500221607272E-5</v>
      </c>
    </row>
    <row r="23" spans="1:16" x14ac:dyDescent="0.25">
      <c r="A23" t="s">
        <v>56</v>
      </c>
      <c r="B23" t="s">
        <v>57</v>
      </c>
      <c r="C23" s="8">
        <v>41442</v>
      </c>
      <c r="E23">
        <v>400</v>
      </c>
      <c r="H23" s="21">
        <v>41628</v>
      </c>
      <c r="I23" t="s">
        <v>63</v>
      </c>
      <c r="J23" t="s">
        <v>70</v>
      </c>
      <c r="K23">
        <v>0.27750000000000002</v>
      </c>
      <c r="L23">
        <v>32</v>
      </c>
      <c r="M23">
        <v>0.28828828828828823</v>
      </c>
      <c r="N23">
        <v>0.8426891102441777</v>
      </c>
      <c r="O23">
        <v>4.1777780128890587</v>
      </c>
      <c r="P23">
        <v>1.2044044721842328E-3</v>
      </c>
    </row>
    <row r="24" spans="1:16" x14ac:dyDescent="0.25">
      <c r="A24" t="s">
        <v>56</v>
      </c>
      <c r="B24" t="s">
        <v>57</v>
      </c>
      <c r="C24" s="8">
        <v>41442</v>
      </c>
      <c r="E24">
        <v>400</v>
      </c>
      <c r="H24" s="21">
        <v>41628</v>
      </c>
      <c r="I24" t="s">
        <v>64</v>
      </c>
      <c r="J24" t="s">
        <v>70</v>
      </c>
      <c r="K24">
        <v>0.42749999999999999</v>
      </c>
      <c r="L24">
        <v>37</v>
      </c>
      <c r="M24">
        <v>0.21637426900584794</v>
      </c>
      <c r="N24">
        <v>1.1040845981634797</v>
      </c>
      <c r="O24">
        <v>7.0996337791254387</v>
      </c>
      <c r="P24">
        <v>1.5361780691674925E-3</v>
      </c>
    </row>
    <row r="25" spans="1:16" x14ac:dyDescent="0.25">
      <c r="A25" t="s">
        <v>56</v>
      </c>
      <c r="B25" t="s">
        <v>57</v>
      </c>
      <c r="C25" s="8">
        <v>41442</v>
      </c>
      <c r="E25">
        <v>400</v>
      </c>
      <c r="H25" s="21">
        <v>41628</v>
      </c>
      <c r="I25" t="s">
        <v>65</v>
      </c>
      <c r="J25" t="s">
        <v>70</v>
      </c>
      <c r="K25">
        <v>1</v>
      </c>
      <c r="L25">
        <v>3</v>
      </c>
      <c r="M25">
        <v>7.4999999999999997E-3</v>
      </c>
      <c r="N25">
        <v>0.75790684522831386</v>
      </c>
      <c r="O25">
        <v>3.1256097193575756</v>
      </c>
      <c r="P25">
        <v>2.3442072895181814E-5</v>
      </c>
    </row>
    <row r="26" spans="1:16" x14ac:dyDescent="0.25">
      <c r="A26" t="s">
        <v>56</v>
      </c>
      <c r="B26" t="s">
        <v>57</v>
      </c>
      <c r="C26" s="8">
        <v>41442</v>
      </c>
      <c r="E26">
        <v>400</v>
      </c>
      <c r="H26" s="21">
        <v>41628</v>
      </c>
      <c r="I26" t="s">
        <v>66</v>
      </c>
      <c r="J26" t="s">
        <v>70</v>
      </c>
      <c r="K26">
        <v>1</v>
      </c>
      <c r="L26">
        <v>3</v>
      </c>
      <c r="M26">
        <v>7.4999999999999997E-3</v>
      </c>
      <c r="N26">
        <v>1.3145315972351306</v>
      </c>
      <c r="O26">
        <v>11.299703008403085</v>
      </c>
      <c r="P26">
        <v>8.4747772563023138E-5</v>
      </c>
    </row>
    <row r="27" spans="1:16" x14ac:dyDescent="0.25">
      <c r="A27" t="s">
        <v>56</v>
      </c>
      <c r="B27" t="s">
        <v>57</v>
      </c>
      <c r="C27" s="8">
        <v>41442</v>
      </c>
      <c r="E27">
        <v>400</v>
      </c>
      <c r="H27" s="21">
        <v>41628</v>
      </c>
      <c r="I27" t="s">
        <v>67</v>
      </c>
      <c r="J27" t="s">
        <v>70</v>
      </c>
      <c r="K27">
        <v>6.7500000000000004E-2</v>
      </c>
      <c r="L27">
        <v>24</v>
      </c>
      <c r="M27">
        <v>0.88888888888888884</v>
      </c>
      <c r="N27">
        <v>0.36780189852952283</v>
      </c>
      <c r="O27">
        <v>1.9766372995296733</v>
      </c>
      <c r="P27">
        <v>1.757010932915265E-3</v>
      </c>
    </row>
    <row r="28" spans="1:16" x14ac:dyDescent="0.25">
      <c r="A28" t="s">
        <v>56</v>
      </c>
      <c r="B28" t="s">
        <v>57</v>
      </c>
      <c r="C28" s="8">
        <v>41442</v>
      </c>
      <c r="E28">
        <v>400</v>
      </c>
      <c r="H28" s="21">
        <v>41628</v>
      </c>
      <c r="I28" t="s">
        <v>68</v>
      </c>
      <c r="J28" t="s">
        <v>70</v>
      </c>
      <c r="K28">
        <v>0.42749999999999999</v>
      </c>
      <c r="L28">
        <v>24</v>
      </c>
      <c r="M28">
        <v>0.14035087719298245</v>
      </c>
      <c r="N28">
        <v>0.67312367095120973</v>
      </c>
      <c r="O28">
        <v>1.7550102262474716</v>
      </c>
      <c r="P28">
        <v>2.4631722473648725E-4</v>
      </c>
    </row>
    <row r="29" spans="1:16" x14ac:dyDescent="0.25">
      <c r="A29" t="s">
        <v>56</v>
      </c>
      <c r="B29" t="s">
        <v>57</v>
      </c>
      <c r="C29" s="8">
        <v>41442</v>
      </c>
      <c r="E29">
        <v>400</v>
      </c>
      <c r="H29" s="21">
        <v>41628</v>
      </c>
      <c r="I29" t="s">
        <v>69</v>
      </c>
      <c r="J29" t="s">
        <v>70</v>
      </c>
      <c r="K29">
        <v>0.17749999999999999</v>
      </c>
      <c r="L29">
        <v>39</v>
      </c>
      <c r="M29">
        <v>0.54929577464788737</v>
      </c>
      <c r="N29">
        <v>0.55175274632682703</v>
      </c>
      <c r="O29">
        <v>2.0392718824315086</v>
      </c>
      <c r="P29">
        <v>1.1201634283778709E-3</v>
      </c>
    </row>
    <row r="30" spans="1:16" x14ac:dyDescent="0.25">
      <c r="A30" t="s">
        <v>56</v>
      </c>
      <c r="B30" t="s">
        <v>57</v>
      </c>
      <c r="C30" s="8">
        <v>41442</v>
      </c>
      <c r="E30">
        <v>400</v>
      </c>
      <c r="H30" s="21">
        <v>41628</v>
      </c>
      <c r="I30" t="s">
        <v>64</v>
      </c>
      <c r="J30" t="s">
        <v>77</v>
      </c>
      <c r="K30" s="13">
        <v>0.42749999999999999</v>
      </c>
      <c r="L30">
        <v>13</v>
      </c>
      <c r="M30" s="12">
        <v>7.6023391812865493E-2</v>
      </c>
    </row>
    <row r="31" spans="1:16" x14ac:dyDescent="0.25">
      <c r="A31" t="s">
        <v>56</v>
      </c>
      <c r="B31" t="s">
        <v>57</v>
      </c>
      <c r="C31" s="8">
        <v>41442</v>
      </c>
      <c r="E31">
        <v>400</v>
      </c>
      <c r="H31" s="21">
        <v>41628</v>
      </c>
      <c r="I31" t="s">
        <v>67</v>
      </c>
      <c r="J31" t="s">
        <v>77</v>
      </c>
      <c r="K31" s="13">
        <v>6.7500000000000004E-2</v>
      </c>
      <c r="L31">
        <v>4</v>
      </c>
      <c r="M31" s="12">
        <v>0.14814814814814814</v>
      </c>
    </row>
    <row r="32" spans="1:16" x14ac:dyDescent="0.25">
      <c r="A32" t="s">
        <v>56</v>
      </c>
      <c r="B32" t="s">
        <v>57</v>
      </c>
      <c r="C32" s="8">
        <v>41442</v>
      </c>
      <c r="E32">
        <v>400</v>
      </c>
      <c r="H32" s="21">
        <v>41628</v>
      </c>
      <c r="I32" t="s">
        <v>68</v>
      </c>
      <c r="J32" t="s">
        <v>77</v>
      </c>
      <c r="K32" s="13">
        <v>0.42749999999999999</v>
      </c>
      <c r="L32">
        <v>1</v>
      </c>
      <c r="M32" s="12">
        <v>5.8479532163742687E-3</v>
      </c>
    </row>
    <row r="33" spans="1:16" x14ac:dyDescent="0.25">
      <c r="A33" t="s">
        <v>56</v>
      </c>
      <c r="B33" t="s">
        <v>57</v>
      </c>
      <c r="C33" s="8">
        <v>41442</v>
      </c>
      <c r="E33">
        <v>400</v>
      </c>
      <c r="H33" s="21">
        <v>41628</v>
      </c>
      <c r="I33" t="s">
        <v>69</v>
      </c>
      <c r="J33" t="s">
        <v>77</v>
      </c>
      <c r="K33" s="13">
        <v>0.17749999999999999</v>
      </c>
      <c r="L33">
        <v>8</v>
      </c>
      <c r="M33" s="12">
        <v>0.11267605633802817</v>
      </c>
    </row>
    <row r="34" spans="1:16" x14ac:dyDescent="0.25">
      <c r="A34" t="s">
        <v>56</v>
      </c>
      <c r="B34" t="s">
        <v>57</v>
      </c>
      <c r="C34" s="8">
        <v>41442</v>
      </c>
      <c r="E34">
        <v>400</v>
      </c>
      <c r="H34" s="21">
        <v>41628</v>
      </c>
      <c r="I34" t="s">
        <v>71</v>
      </c>
      <c r="J34" t="s">
        <v>77</v>
      </c>
      <c r="K34">
        <v>1.25E-3</v>
      </c>
      <c r="L34">
        <v>11</v>
      </c>
      <c r="M34">
        <v>22</v>
      </c>
    </row>
    <row r="35" spans="1:16" x14ac:dyDescent="0.25">
      <c r="A35" t="s">
        <v>56</v>
      </c>
      <c r="B35" t="s">
        <v>57</v>
      </c>
      <c r="C35" s="8">
        <v>41442</v>
      </c>
      <c r="E35">
        <v>400</v>
      </c>
      <c r="H35" s="21">
        <v>41628</v>
      </c>
      <c r="I35" t="s">
        <v>74</v>
      </c>
      <c r="J35" t="s">
        <v>77</v>
      </c>
      <c r="K35">
        <v>1.25E-3</v>
      </c>
      <c r="L35">
        <v>4</v>
      </c>
      <c r="M35">
        <v>8</v>
      </c>
    </row>
    <row r="36" spans="1:16" x14ac:dyDescent="0.25">
      <c r="A36" t="s">
        <v>56</v>
      </c>
      <c r="B36" t="s">
        <v>57</v>
      </c>
      <c r="C36" s="8">
        <v>41442</v>
      </c>
      <c r="E36">
        <v>400</v>
      </c>
      <c r="H36" s="21">
        <v>41628</v>
      </c>
      <c r="I36" t="s">
        <v>72</v>
      </c>
      <c r="J36" t="s">
        <v>77</v>
      </c>
      <c r="K36">
        <v>1.25E-3</v>
      </c>
      <c r="L36">
        <v>1</v>
      </c>
      <c r="M36">
        <v>2</v>
      </c>
    </row>
    <row r="37" spans="1:16" x14ac:dyDescent="0.25">
      <c r="A37" t="s">
        <v>56</v>
      </c>
      <c r="B37" t="s">
        <v>57</v>
      </c>
      <c r="C37" s="8">
        <v>41442</v>
      </c>
      <c r="E37">
        <v>400</v>
      </c>
      <c r="H37" s="21">
        <v>41628</v>
      </c>
      <c r="I37" t="s">
        <v>75</v>
      </c>
      <c r="J37" t="s">
        <v>77</v>
      </c>
      <c r="K37">
        <v>1.25E-3</v>
      </c>
      <c r="L37">
        <v>1</v>
      </c>
      <c r="M37">
        <v>2</v>
      </c>
    </row>
    <row r="38" spans="1:16" x14ac:dyDescent="0.25">
      <c r="A38" t="s">
        <v>56</v>
      </c>
      <c r="B38" t="s">
        <v>57</v>
      </c>
      <c r="C38" s="8">
        <v>41442</v>
      </c>
      <c r="E38">
        <v>400</v>
      </c>
      <c r="H38" s="21">
        <v>41628</v>
      </c>
      <c r="I38" t="s">
        <v>76</v>
      </c>
      <c r="J38" t="s">
        <v>77</v>
      </c>
      <c r="K38">
        <v>1.25E-3</v>
      </c>
      <c r="L38">
        <v>3</v>
      </c>
      <c r="M38">
        <v>6</v>
      </c>
    </row>
    <row r="39" spans="1:16" x14ac:dyDescent="0.25">
      <c r="A39" t="s">
        <v>56</v>
      </c>
      <c r="B39" t="s">
        <v>57</v>
      </c>
      <c r="C39" s="8">
        <v>41476</v>
      </c>
      <c r="E39">
        <v>400</v>
      </c>
      <c r="H39" s="8">
        <v>41642</v>
      </c>
      <c r="I39" t="s">
        <v>59</v>
      </c>
      <c r="J39" t="s">
        <v>70</v>
      </c>
      <c r="K39">
        <v>4.4999999999999998E-2</v>
      </c>
      <c r="L39">
        <v>21</v>
      </c>
      <c r="M39">
        <v>1.1666666666666667</v>
      </c>
      <c r="N39">
        <v>0.12908687435651542</v>
      </c>
      <c r="O39">
        <v>9.1962170885220476E-2</v>
      </c>
      <c r="P39">
        <v>1.0728919936609057E-4</v>
      </c>
    </row>
    <row r="40" spans="1:16" x14ac:dyDescent="0.25">
      <c r="A40" t="s">
        <v>56</v>
      </c>
      <c r="B40" t="s">
        <v>57</v>
      </c>
      <c r="C40" s="8">
        <v>41476</v>
      </c>
      <c r="E40">
        <v>400</v>
      </c>
      <c r="H40" s="8">
        <v>41642</v>
      </c>
      <c r="I40" t="s">
        <v>78</v>
      </c>
      <c r="J40" t="s">
        <v>70</v>
      </c>
      <c r="K40">
        <v>4.4999999999999998E-2</v>
      </c>
      <c r="L40">
        <v>8</v>
      </c>
      <c r="M40">
        <v>0.44444444444444442</v>
      </c>
      <c r="N40">
        <v>0.12159650288154579</v>
      </c>
      <c r="O40">
        <v>8.3381770832320998E-2</v>
      </c>
      <c r="P40">
        <v>3.7058564814364885E-5</v>
      </c>
    </row>
    <row r="41" spans="1:16" x14ac:dyDescent="0.25">
      <c r="A41" t="s">
        <v>56</v>
      </c>
      <c r="B41" t="s">
        <v>57</v>
      </c>
      <c r="C41" s="8">
        <v>41476</v>
      </c>
      <c r="E41">
        <v>400</v>
      </c>
      <c r="H41" s="8">
        <v>41642</v>
      </c>
      <c r="I41" t="s">
        <v>60</v>
      </c>
      <c r="J41" t="s">
        <v>70</v>
      </c>
      <c r="K41">
        <v>0.03</v>
      </c>
      <c r="L41">
        <v>24</v>
      </c>
      <c r="M41">
        <v>2</v>
      </c>
      <c r="N41">
        <v>0.16375410742687455</v>
      </c>
      <c r="O41">
        <v>0.13836919049447946</v>
      </c>
      <c r="P41">
        <v>2.7673838098895892E-4</v>
      </c>
    </row>
    <row r="42" spans="1:16" x14ac:dyDescent="0.25">
      <c r="A42" t="s">
        <v>56</v>
      </c>
      <c r="B42" t="s">
        <v>57</v>
      </c>
      <c r="C42" s="8">
        <v>41476</v>
      </c>
      <c r="E42">
        <v>400</v>
      </c>
      <c r="H42" s="8">
        <v>41642</v>
      </c>
      <c r="I42" t="s">
        <v>61</v>
      </c>
      <c r="J42" t="s">
        <v>70</v>
      </c>
      <c r="K42">
        <v>0.03</v>
      </c>
      <c r="L42">
        <v>26</v>
      </c>
      <c r="M42">
        <v>2.1666666666666665</v>
      </c>
      <c r="N42">
        <v>0.19667230583127007</v>
      </c>
      <c r="O42">
        <v>0.19572854690041194</v>
      </c>
      <c r="P42">
        <v>4.240785182842258E-4</v>
      </c>
    </row>
    <row r="43" spans="1:16" x14ac:dyDescent="0.25">
      <c r="A43" t="s">
        <v>56</v>
      </c>
      <c r="B43" t="s">
        <v>57</v>
      </c>
      <c r="C43" s="8">
        <v>41476</v>
      </c>
      <c r="E43">
        <v>400</v>
      </c>
      <c r="H43" s="8">
        <v>41642</v>
      </c>
      <c r="I43" t="s">
        <v>62</v>
      </c>
      <c r="J43" t="s">
        <v>70</v>
      </c>
      <c r="K43">
        <v>0.105</v>
      </c>
      <c r="L43">
        <v>19</v>
      </c>
      <c r="M43">
        <v>0.45238095238095238</v>
      </c>
      <c r="N43">
        <v>0.44457560112689676</v>
      </c>
      <c r="O43">
        <v>0.82125510981333882</v>
      </c>
      <c r="P43">
        <v>3.7152016872508189E-4</v>
      </c>
    </row>
    <row r="44" spans="1:16" x14ac:dyDescent="0.25">
      <c r="A44" t="s">
        <v>56</v>
      </c>
      <c r="B44" t="s">
        <v>57</v>
      </c>
      <c r="C44" s="8">
        <v>41476</v>
      </c>
      <c r="E44">
        <v>400</v>
      </c>
      <c r="H44" s="8">
        <v>41642</v>
      </c>
      <c r="I44" t="s">
        <v>73</v>
      </c>
      <c r="J44" t="s">
        <v>70</v>
      </c>
      <c r="K44">
        <v>0.105</v>
      </c>
      <c r="L44">
        <v>18</v>
      </c>
      <c r="M44">
        <v>0.42857142857142855</v>
      </c>
      <c r="N44">
        <v>0.51468563760991204</v>
      </c>
      <c r="O44">
        <v>1.1414764166406484</v>
      </c>
      <c r="P44">
        <v>4.8920417856027792E-4</v>
      </c>
    </row>
    <row r="45" spans="1:16" x14ac:dyDescent="0.25">
      <c r="A45" t="s">
        <v>56</v>
      </c>
      <c r="B45" t="s">
        <v>57</v>
      </c>
      <c r="C45" s="8">
        <v>41476</v>
      </c>
      <c r="E45">
        <v>400</v>
      </c>
      <c r="H45" s="8">
        <v>41642</v>
      </c>
      <c r="I45" t="s">
        <v>63</v>
      </c>
      <c r="J45" t="s">
        <v>70</v>
      </c>
      <c r="K45">
        <v>0.53</v>
      </c>
      <c r="L45">
        <v>47</v>
      </c>
      <c r="M45">
        <v>0.22169811320754718</v>
      </c>
      <c r="N45">
        <v>0.81922363034987866</v>
      </c>
      <c r="O45">
        <v>3.9090109900318804</v>
      </c>
      <c r="P45">
        <v>8.6662036099763382E-4</v>
      </c>
    </row>
    <row r="46" spans="1:16" x14ac:dyDescent="0.25">
      <c r="A46" t="s">
        <v>56</v>
      </c>
      <c r="B46" t="s">
        <v>57</v>
      </c>
      <c r="C46" s="8">
        <v>41476</v>
      </c>
      <c r="E46">
        <v>400</v>
      </c>
      <c r="H46" s="8">
        <v>41642</v>
      </c>
      <c r="I46" t="s">
        <v>64</v>
      </c>
      <c r="J46" t="s">
        <v>70</v>
      </c>
      <c r="K46">
        <v>0.53</v>
      </c>
      <c r="L46">
        <v>33</v>
      </c>
      <c r="M46">
        <v>0.15566037735849056</v>
      </c>
      <c r="N46">
        <v>0.96637573356113315</v>
      </c>
      <c r="O46">
        <v>5.3961921693130517</v>
      </c>
      <c r="P46">
        <v>8.3997330937420143E-4</v>
      </c>
    </row>
    <row r="47" spans="1:16" x14ac:dyDescent="0.25">
      <c r="A47" t="s">
        <v>56</v>
      </c>
      <c r="B47" t="s">
        <v>57</v>
      </c>
      <c r="C47" s="8">
        <v>41476</v>
      </c>
      <c r="E47">
        <v>400</v>
      </c>
      <c r="H47" s="8">
        <v>41642</v>
      </c>
      <c r="I47" t="s">
        <v>65</v>
      </c>
      <c r="J47" t="s">
        <v>70</v>
      </c>
      <c r="K47">
        <v>1</v>
      </c>
      <c r="L47">
        <v>1</v>
      </c>
      <c r="M47">
        <v>2.5000000000000001E-3</v>
      </c>
      <c r="N47">
        <v>0.40903669207888921</v>
      </c>
      <c r="O47">
        <v>0.6099551010574652</v>
      </c>
      <c r="P47">
        <v>1.5248877526436631E-6</v>
      </c>
    </row>
    <row r="48" spans="1:16" x14ac:dyDescent="0.25">
      <c r="A48" t="s">
        <v>56</v>
      </c>
      <c r="B48" t="s">
        <v>57</v>
      </c>
      <c r="C48" s="8">
        <v>41476</v>
      </c>
      <c r="E48">
        <v>400</v>
      </c>
      <c r="H48" s="8">
        <v>41642</v>
      </c>
      <c r="I48" t="s">
        <v>66</v>
      </c>
      <c r="J48" t="s">
        <v>70</v>
      </c>
      <c r="K48">
        <v>1</v>
      </c>
      <c r="L48">
        <v>1</v>
      </c>
      <c r="M48">
        <v>2.5000000000000001E-3</v>
      </c>
      <c r="N48">
        <v>0.98281565831327966</v>
      </c>
      <c r="O48">
        <v>5.2704048182065826</v>
      </c>
      <c r="P48">
        <v>1.3176012045516456E-5</v>
      </c>
    </row>
    <row r="49" spans="1:16" x14ac:dyDescent="0.25">
      <c r="A49" t="s">
        <v>56</v>
      </c>
      <c r="B49" t="s">
        <v>57</v>
      </c>
      <c r="C49" s="8">
        <v>41476</v>
      </c>
      <c r="E49">
        <v>400</v>
      </c>
      <c r="H49" s="8">
        <v>41642</v>
      </c>
      <c r="I49" t="s">
        <v>67</v>
      </c>
      <c r="J49" t="s">
        <v>70</v>
      </c>
      <c r="K49">
        <v>0.03</v>
      </c>
      <c r="L49">
        <v>28</v>
      </c>
      <c r="M49">
        <v>2.3333333333333335</v>
      </c>
      <c r="N49">
        <v>0.39853220233492592</v>
      </c>
      <c r="O49">
        <v>2.3706684396274644</v>
      </c>
      <c r="P49">
        <v>5.5315596924640836E-3</v>
      </c>
    </row>
    <row r="50" spans="1:16" x14ac:dyDescent="0.25">
      <c r="A50" t="s">
        <v>56</v>
      </c>
      <c r="B50" t="s">
        <v>57</v>
      </c>
      <c r="C50" s="8">
        <v>41476</v>
      </c>
      <c r="E50">
        <v>400</v>
      </c>
      <c r="H50" s="8">
        <v>41642</v>
      </c>
      <c r="I50" t="s">
        <v>68</v>
      </c>
      <c r="J50" t="s">
        <v>70</v>
      </c>
      <c r="K50">
        <v>0.53</v>
      </c>
      <c r="L50">
        <v>28</v>
      </c>
      <c r="M50">
        <v>0.13207547169811321</v>
      </c>
      <c r="N50">
        <v>0.66316240781107283</v>
      </c>
      <c r="O50">
        <v>1.6984978044814312</v>
      </c>
      <c r="P50">
        <v>2.2432989870509466E-4</v>
      </c>
    </row>
    <row r="51" spans="1:16" x14ac:dyDescent="0.25">
      <c r="A51" t="s">
        <v>56</v>
      </c>
      <c r="B51" t="s">
        <v>57</v>
      </c>
      <c r="C51" s="8">
        <v>41476</v>
      </c>
      <c r="E51">
        <v>400</v>
      </c>
      <c r="H51" s="8">
        <v>41642</v>
      </c>
      <c r="I51" t="s">
        <v>69</v>
      </c>
      <c r="J51" t="s">
        <v>70</v>
      </c>
      <c r="K51">
        <v>0.105</v>
      </c>
      <c r="L51">
        <v>29</v>
      </c>
      <c r="M51">
        <v>0.69047619047619047</v>
      </c>
      <c r="N51">
        <v>0.56839522804413423</v>
      </c>
      <c r="O51">
        <v>2.275959606701885</v>
      </c>
      <c r="P51">
        <v>1.5714959189132064E-3</v>
      </c>
    </row>
    <row r="52" spans="1:16" x14ac:dyDescent="0.25">
      <c r="A52" t="s">
        <v>56</v>
      </c>
      <c r="B52" t="s">
        <v>57</v>
      </c>
      <c r="C52" s="8">
        <v>41476</v>
      </c>
      <c r="E52">
        <v>400</v>
      </c>
      <c r="H52" s="8">
        <v>41642</v>
      </c>
      <c r="I52" t="s">
        <v>79</v>
      </c>
      <c r="J52" t="s">
        <v>70</v>
      </c>
      <c r="K52">
        <v>0.53</v>
      </c>
      <c r="L52">
        <v>1</v>
      </c>
      <c r="M52">
        <v>4.7169811320754715E-3</v>
      </c>
      <c r="N52">
        <v>0.60827226979400995</v>
      </c>
      <c r="O52">
        <v>5.5872524140960458</v>
      </c>
      <c r="P52">
        <v>2.6354964217434177E-5</v>
      </c>
    </row>
    <row r="53" spans="1:16" x14ac:dyDescent="0.25">
      <c r="A53" t="s">
        <v>56</v>
      </c>
      <c r="B53" t="s">
        <v>57</v>
      </c>
      <c r="C53" s="8">
        <v>41476</v>
      </c>
      <c r="E53">
        <v>400</v>
      </c>
      <c r="H53" s="8">
        <v>41642</v>
      </c>
      <c r="I53" t="s">
        <v>80</v>
      </c>
      <c r="J53" t="s">
        <v>70</v>
      </c>
      <c r="K53">
        <v>0.53</v>
      </c>
      <c r="L53">
        <v>2</v>
      </c>
      <c r="M53">
        <v>9.433962264150943E-3</v>
      </c>
      <c r="N53">
        <v>0.64699889599591554</v>
      </c>
      <c r="O53">
        <v>3.2159134605176969</v>
      </c>
      <c r="P53">
        <v>3.0338806231299024E-5</v>
      </c>
    </row>
    <row r="54" spans="1:16" x14ac:dyDescent="0.25">
      <c r="A54" t="s">
        <v>56</v>
      </c>
      <c r="B54" t="s">
        <v>57</v>
      </c>
      <c r="C54" s="8">
        <v>41476</v>
      </c>
      <c r="E54">
        <v>400</v>
      </c>
      <c r="H54" s="8">
        <v>41642</v>
      </c>
      <c r="I54" t="s">
        <v>67</v>
      </c>
      <c r="J54" t="s">
        <v>77</v>
      </c>
      <c r="K54">
        <v>0.03</v>
      </c>
      <c r="L54">
        <v>2</v>
      </c>
      <c r="M54">
        <v>0.16666666666666666</v>
      </c>
    </row>
    <row r="55" spans="1:16" x14ac:dyDescent="0.25">
      <c r="A55" t="s">
        <v>56</v>
      </c>
      <c r="B55" t="s">
        <v>57</v>
      </c>
      <c r="C55" s="8">
        <v>41476</v>
      </c>
      <c r="E55">
        <v>400</v>
      </c>
      <c r="H55" s="8">
        <v>41642</v>
      </c>
      <c r="I55" t="s">
        <v>68</v>
      </c>
      <c r="J55" t="s">
        <v>77</v>
      </c>
      <c r="K55">
        <v>0.53</v>
      </c>
      <c r="L55">
        <v>2</v>
      </c>
      <c r="M55">
        <v>9.433962264150943E-3</v>
      </c>
    </row>
    <row r="56" spans="1:16" x14ac:dyDescent="0.25">
      <c r="A56" t="s">
        <v>56</v>
      </c>
      <c r="B56" t="s">
        <v>57</v>
      </c>
      <c r="C56" s="8">
        <v>41476</v>
      </c>
      <c r="E56">
        <v>400</v>
      </c>
      <c r="H56" s="8">
        <v>41642</v>
      </c>
      <c r="I56" t="s">
        <v>71</v>
      </c>
      <c r="J56" t="s">
        <v>77</v>
      </c>
      <c r="K56">
        <v>0.38</v>
      </c>
      <c r="L56">
        <v>5</v>
      </c>
      <c r="M56">
        <v>3.2894736842105261E-2</v>
      </c>
    </row>
    <row r="57" spans="1:16" x14ac:dyDescent="0.25">
      <c r="A57" t="s">
        <v>56</v>
      </c>
      <c r="B57" t="s">
        <v>57</v>
      </c>
      <c r="C57" s="8">
        <v>41476</v>
      </c>
      <c r="E57">
        <v>400</v>
      </c>
      <c r="H57" s="8">
        <v>41642</v>
      </c>
      <c r="I57" t="s">
        <v>72</v>
      </c>
      <c r="J57" t="s">
        <v>77</v>
      </c>
      <c r="K57">
        <v>0.38</v>
      </c>
      <c r="L57">
        <v>7</v>
      </c>
      <c r="M57">
        <v>4.6052631578947366E-2</v>
      </c>
    </row>
    <row r="58" spans="1:16" x14ac:dyDescent="0.25">
      <c r="A58" t="s">
        <v>56</v>
      </c>
      <c r="B58" t="s">
        <v>57</v>
      </c>
      <c r="C58" s="8">
        <v>41476</v>
      </c>
      <c r="E58">
        <v>400</v>
      </c>
      <c r="H58" s="8">
        <v>41642</v>
      </c>
      <c r="I58" t="s">
        <v>76</v>
      </c>
      <c r="J58" t="s">
        <v>77</v>
      </c>
      <c r="K58">
        <v>0.38</v>
      </c>
      <c r="L58">
        <v>15</v>
      </c>
      <c r="M58">
        <v>9.8684210526315791E-2</v>
      </c>
    </row>
    <row r="59" spans="1:16" x14ac:dyDescent="0.25">
      <c r="A59" t="s">
        <v>56</v>
      </c>
      <c r="B59" t="s">
        <v>57</v>
      </c>
      <c r="C59" s="8">
        <v>41498</v>
      </c>
      <c r="E59">
        <v>400</v>
      </c>
      <c r="H59" s="8">
        <v>41646</v>
      </c>
      <c r="I59" t="s">
        <v>59</v>
      </c>
      <c r="J59" t="s">
        <v>70</v>
      </c>
      <c r="K59">
        <v>0.26250000000000001</v>
      </c>
      <c r="L59">
        <v>21</v>
      </c>
      <c r="M59">
        <v>0.2</v>
      </c>
      <c r="N59">
        <v>0.12481167393229919</v>
      </c>
      <c r="O59">
        <v>8.7629416101765847E-2</v>
      </c>
      <c r="P59">
        <v>1.7525883220353169E-5</v>
      </c>
    </row>
    <row r="60" spans="1:16" x14ac:dyDescent="0.25">
      <c r="A60" t="s">
        <v>56</v>
      </c>
      <c r="B60" t="s">
        <v>57</v>
      </c>
      <c r="C60" s="8">
        <v>41498</v>
      </c>
      <c r="E60">
        <v>400</v>
      </c>
      <c r="H60" s="8">
        <v>41646</v>
      </c>
      <c r="I60" t="s">
        <v>78</v>
      </c>
      <c r="J60" t="s">
        <v>70</v>
      </c>
      <c r="K60">
        <v>0.26250000000000001</v>
      </c>
      <c r="L60">
        <v>5</v>
      </c>
      <c r="M60">
        <v>4.7619047619047616E-2</v>
      </c>
      <c r="N60">
        <v>0.12167108534490714</v>
      </c>
      <c r="O60">
        <v>8.3681302854554523E-2</v>
      </c>
      <c r="P60">
        <v>3.9848239454549773E-6</v>
      </c>
    </row>
    <row r="61" spans="1:16" x14ac:dyDescent="0.25">
      <c r="A61" t="s">
        <v>56</v>
      </c>
      <c r="B61" t="s">
        <v>57</v>
      </c>
      <c r="C61" s="8">
        <v>41498</v>
      </c>
      <c r="E61">
        <v>400</v>
      </c>
      <c r="H61" s="8">
        <v>41646</v>
      </c>
      <c r="I61" t="s">
        <v>60</v>
      </c>
      <c r="J61" t="s">
        <v>70</v>
      </c>
      <c r="K61">
        <v>0.14249999999999999</v>
      </c>
      <c r="L61">
        <v>18</v>
      </c>
      <c r="M61">
        <v>0.31578947368421056</v>
      </c>
      <c r="N61">
        <v>0.17543096411573258</v>
      </c>
      <c r="O61">
        <v>0.15373583123815837</v>
      </c>
      <c r="P61">
        <v>4.8548157233102647E-5</v>
      </c>
    </row>
    <row r="62" spans="1:16" x14ac:dyDescent="0.25">
      <c r="A62" t="s">
        <v>56</v>
      </c>
      <c r="B62" t="s">
        <v>57</v>
      </c>
      <c r="C62" s="8">
        <v>41498</v>
      </c>
      <c r="E62">
        <v>400</v>
      </c>
      <c r="H62" s="8">
        <v>41646</v>
      </c>
      <c r="I62" t="s">
        <v>61</v>
      </c>
      <c r="J62" t="s">
        <v>70</v>
      </c>
      <c r="K62">
        <v>0.03</v>
      </c>
      <c r="L62">
        <v>23</v>
      </c>
      <c r="M62">
        <v>1.9166666666666667</v>
      </c>
      <c r="N62">
        <v>0.16950534311610568</v>
      </c>
      <c r="O62">
        <v>0.15004887244947812</v>
      </c>
      <c r="P62">
        <v>2.8759367219483305E-4</v>
      </c>
    </row>
    <row r="63" spans="1:16" x14ac:dyDescent="0.25">
      <c r="A63" t="s">
        <v>56</v>
      </c>
      <c r="B63" t="s">
        <v>57</v>
      </c>
      <c r="C63" s="8">
        <v>41498</v>
      </c>
      <c r="E63">
        <v>400</v>
      </c>
      <c r="H63" s="8">
        <v>41646</v>
      </c>
      <c r="I63" t="s">
        <v>62</v>
      </c>
      <c r="J63" t="s">
        <v>70</v>
      </c>
      <c r="K63">
        <v>0.27750000000000002</v>
      </c>
      <c r="L63">
        <v>32</v>
      </c>
      <c r="M63">
        <v>0.28828828828828823</v>
      </c>
      <c r="N63">
        <v>0.43543072008438444</v>
      </c>
      <c r="O63">
        <v>0.77530845826760708</v>
      </c>
      <c r="P63">
        <v>2.2351234832940019E-4</v>
      </c>
    </row>
    <row r="64" spans="1:16" x14ac:dyDescent="0.25">
      <c r="A64" t="s">
        <v>56</v>
      </c>
      <c r="B64" t="s">
        <v>57</v>
      </c>
      <c r="C64" s="8">
        <v>41498</v>
      </c>
      <c r="E64">
        <v>400</v>
      </c>
      <c r="H64" s="8">
        <v>41646</v>
      </c>
      <c r="I64" t="s">
        <v>73</v>
      </c>
      <c r="J64" t="s">
        <v>70</v>
      </c>
      <c r="K64">
        <v>0.27750000000000002</v>
      </c>
      <c r="L64">
        <v>29</v>
      </c>
      <c r="M64">
        <v>0.2612612612612612</v>
      </c>
      <c r="N64">
        <v>0.62997557436934115</v>
      </c>
      <c r="O64">
        <v>1.8415883221955709</v>
      </c>
      <c r="P64">
        <v>4.8113568778082469E-4</v>
      </c>
    </row>
    <row r="65" spans="1:16" x14ac:dyDescent="0.25">
      <c r="A65" t="s">
        <v>56</v>
      </c>
      <c r="B65" t="s">
        <v>57</v>
      </c>
      <c r="C65" s="8">
        <v>41498</v>
      </c>
      <c r="E65">
        <v>400</v>
      </c>
      <c r="H65" s="8">
        <v>41646</v>
      </c>
      <c r="I65" t="s">
        <v>63</v>
      </c>
      <c r="J65" t="s">
        <v>70</v>
      </c>
      <c r="K65">
        <v>0.35249999999999998</v>
      </c>
      <c r="L65">
        <v>38</v>
      </c>
      <c r="M65">
        <v>0.26950354609929078</v>
      </c>
      <c r="N65">
        <v>0.8104729455215347</v>
      </c>
      <c r="O65">
        <v>3.8255732283315202</v>
      </c>
      <c r="P65">
        <v>1.0310055508978566E-3</v>
      </c>
    </row>
    <row r="66" spans="1:16" x14ac:dyDescent="0.25">
      <c r="A66" t="s">
        <v>56</v>
      </c>
      <c r="B66" t="s">
        <v>57</v>
      </c>
      <c r="C66" s="8">
        <v>41498</v>
      </c>
      <c r="E66">
        <v>400</v>
      </c>
      <c r="H66" s="8">
        <v>41646</v>
      </c>
      <c r="I66" t="s">
        <v>64</v>
      </c>
      <c r="J66" t="s">
        <v>70</v>
      </c>
      <c r="K66">
        <v>0.35249999999999998</v>
      </c>
      <c r="L66">
        <v>38</v>
      </c>
      <c r="M66">
        <v>0.26950354609929078</v>
      </c>
      <c r="N66">
        <v>0.9354818014048446</v>
      </c>
      <c r="O66">
        <v>4.8587234073330547</v>
      </c>
      <c r="P66">
        <v>1.3094431877918871E-3</v>
      </c>
    </row>
    <row r="67" spans="1:16" x14ac:dyDescent="0.25">
      <c r="A67" t="s">
        <v>56</v>
      </c>
      <c r="B67" t="s">
        <v>57</v>
      </c>
      <c r="C67" s="8">
        <v>41498</v>
      </c>
      <c r="E67">
        <v>400</v>
      </c>
      <c r="H67" s="8">
        <v>41646</v>
      </c>
      <c r="I67" t="s">
        <v>65</v>
      </c>
      <c r="J67" t="s">
        <v>70</v>
      </c>
      <c r="K67">
        <v>1</v>
      </c>
      <c r="L67">
        <v>1</v>
      </c>
      <c r="M67">
        <v>2.5000000000000001E-3</v>
      </c>
      <c r="N67">
        <v>0.46494520223964586</v>
      </c>
      <c r="O67">
        <v>0.83593218197748986</v>
      </c>
      <c r="P67">
        <v>2.0898304549437247E-6</v>
      </c>
    </row>
    <row r="68" spans="1:16" x14ac:dyDescent="0.25">
      <c r="A68" t="s">
        <v>56</v>
      </c>
      <c r="B68" t="s">
        <v>57</v>
      </c>
      <c r="C68" s="8">
        <v>41498</v>
      </c>
      <c r="E68">
        <v>400</v>
      </c>
      <c r="H68" s="8">
        <v>41646</v>
      </c>
      <c r="I68" t="s">
        <v>66</v>
      </c>
      <c r="J68" t="s">
        <v>70</v>
      </c>
      <c r="K68">
        <v>1</v>
      </c>
      <c r="L68">
        <v>2</v>
      </c>
      <c r="M68">
        <v>5.0000000000000001E-3</v>
      </c>
      <c r="N68">
        <v>1.5535549377020239</v>
      </c>
      <c r="O68">
        <v>16.982409504712592</v>
      </c>
      <c r="P68">
        <v>8.4912047523562955E-5</v>
      </c>
    </row>
    <row r="69" spans="1:16" x14ac:dyDescent="0.25">
      <c r="A69" t="s">
        <v>56</v>
      </c>
      <c r="B69" t="s">
        <v>57</v>
      </c>
      <c r="C69" s="8">
        <v>41498</v>
      </c>
      <c r="E69">
        <v>400</v>
      </c>
      <c r="H69" s="8">
        <v>41646</v>
      </c>
      <c r="I69" t="s">
        <v>67</v>
      </c>
      <c r="J69" t="s">
        <v>70</v>
      </c>
      <c r="K69">
        <v>0.03</v>
      </c>
      <c r="L69">
        <v>39</v>
      </c>
      <c r="M69">
        <v>3.25</v>
      </c>
      <c r="N69">
        <v>0.40081199966654174</v>
      </c>
      <c r="O69">
        <v>2.4042882554081033</v>
      </c>
      <c r="P69">
        <v>7.8139368300763363E-3</v>
      </c>
    </row>
    <row r="70" spans="1:16" x14ac:dyDescent="0.25">
      <c r="A70" t="s">
        <v>56</v>
      </c>
      <c r="B70" t="s">
        <v>57</v>
      </c>
      <c r="C70" s="8">
        <v>41498</v>
      </c>
      <c r="E70">
        <v>400</v>
      </c>
      <c r="H70" s="8">
        <v>41646</v>
      </c>
      <c r="I70" t="s">
        <v>68</v>
      </c>
      <c r="J70" t="s">
        <v>70</v>
      </c>
      <c r="K70">
        <v>0.14249999999999999</v>
      </c>
      <c r="L70">
        <v>28</v>
      </c>
      <c r="M70">
        <v>0.49122807017543868</v>
      </c>
      <c r="N70">
        <v>0.61103351086208835</v>
      </c>
      <c r="O70">
        <v>1.4037558753324013</v>
      </c>
      <c r="P70">
        <v>6.8956428963696918E-4</v>
      </c>
    </row>
    <row r="71" spans="1:16" x14ac:dyDescent="0.25">
      <c r="A71" t="s">
        <v>56</v>
      </c>
      <c r="B71" t="s">
        <v>57</v>
      </c>
      <c r="C71" s="8">
        <v>41498</v>
      </c>
      <c r="E71">
        <v>400</v>
      </c>
      <c r="H71" s="8">
        <v>41646</v>
      </c>
      <c r="I71" t="s">
        <v>69</v>
      </c>
      <c r="J71" t="s">
        <v>70</v>
      </c>
      <c r="K71">
        <v>0.14249999999999999</v>
      </c>
      <c r="L71">
        <v>43</v>
      </c>
      <c r="M71">
        <v>0.75438596491228083</v>
      </c>
      <c r="N71">
        <v>0.7187676119053642</v>
      </c>
      <c r="O71">
        <v>4.8845753735888762</v>
      </c>
      <c r="P71">
        <v>3.684855106391609E-3</v>
      </c>
    </row>
    <row r="72" spans="1:16" x14ac:dyDescent="0.25">
      <c r="A72" t="s">
        <v>56</v>
      </c>
      <c r="B72" t="s">
        <v>57</v>
      </c>
      <c r="C72" s="8">
        <v>41498</v>
      </c>
      <c r="E72">
        <v>400</v>
      </c>
      <c r="H72" s="8">
        <v>41646</v>
      </c>
      <c r="I72" t="s">
        <v>80</v>
      </c>
      <c r="J72" t="s">
        <v>70</v>
      </c>
      <c r="K72">
        <v>0.27750000000000002</v>
      </c>
      <c r="L72">
        <v>27</v>
      </c>
      <c r="M72">
        <v>0.2432432432432432</v>
      </c>
      <c r="N72">
        <v>0.58474031847916386</v>
      </c>
      <c r="O72">
        <v>2.8958370941989364</v>
      </c>
      <c r="P72">
        <v>7.0439280669703857E-4</v>
      </c>
    </row>
    <row r="73" spans="1:16" x14ac:dyDescent="0.25">
      <c r="A73" t="s">
        <v>56</v>
      </c>
      <c r="B73" t="s">
        <v>57</v>
      </c>
      <c r="C73" s="8">
        <v>41498</v>
      </c>
      <c r="E73">
        <v>400</v>
      </c>
      <c r="H73" s="8">
        <v>41646</v>
      </c>
      <c r="I73" t="s">
        <v>74</v>
      </c>
      <c r="J73" t="s">
        <v>77</v>
      </c>
      <c r="K73">
        <v>0.35249999999999998</v>
      </c>
      <c r="L73">
        <v>22</v>
      </c>
      <c r="M73">
        <v>0.15602836879432624</v>
      </c>
    </row>
    <row r="74" spans="1:16" x14ac:dyDescent="0.25">
      <c r="A74" t="s">
        <v>56</v>
      </c>
      <c r="B74" t="s">
        <v>57</v>
      </c>
      <c r="C74" s="8">
        <v>41498</v>
      </c>
      <c r="E74">
        <v>400</v>
      </c>
      <c r="H74" s="8">
        <v>41646</v>
      </c>
      <c r="I74" t="s">
        <v>72</v>
      </c>
      <c r="J74" t="s">
        <v>77</v>
      </c>
      <c r="K74">
        <v>0.35249999999999998</v>
      </c>
      <c r="L74">
        <v>6</v>
      </c>
      <c r="M74">
        <v>4.2553191489361701E-2</v>
      </c>
    </row>
    <row r="75" spans="1:16" x14ac:dyDescent="0.25">
      <c r="A75" t="s">
        <v>56</v>
      </c>
      <c r="B75" t="s">
        <v>57</v>
      </c>
      <c r="C75" s="8">
        <v>41498</v>
      </c>
      <c r="E75">
        <v>400</v>
      </c>
      <c r="H75" s="8">
        <v>41646</v>
      </c>
      <c r="I75" t="s">
        <v>76</v>
      </c>
      <c r="J75" t="s">
        <v>77</v>
      </c>
      <c r="K75">
        <v>0.35249999999999998</v>
      </c>
      <c r="L75">
        <v>7</v>
      </c>
      <c r="M75">
        <v>4.9645390070921988E-2</v>
      </c>
    </row>
    <row r="76" spans="1:16" x14ac:dyDescent="0.25">
      <c r="A76" t="s">
        <v>56</v>
      </c>
      <c r="B76" t="s">
        <v>57</v>
      </c>
      <c r="C76" s="8">
        <v>41533</v>
      </c>
      <c r="E76">
        <v>400</v>
      </c>
      <c r="H76" s="8">
        <v>41647</v>
      </c>
      <c r="I76" t="s">
        <v>59</v>
      </c>
      <c r="J76" t="s">
        <v>70</v>
      </c>
      <c r="K76">
        <v>6.7500000000000004E-2</v>
      </c>
      <c r="L76">
        <v>12</v>
      </c>
      <c r="M76">
        <v>0.44444444444444442</v>
      </c>
      <c r="N76">
        <v>0.12127658659568559</v>
      </c>
      <c r="O76">
        <v>8.3724178088835477E-2</v>
      </c>
      <c r="P76">
        <v>3.7210745817260209E-5</v>
      </c>
    </row>
    <row r="77" spans="1:16" x14ac:dyDescent="0.25">
      <c r="A77" t="s">
        <v>56</v>
      </c>
      <c r="B77" t="s">
        <v>57</v>
      </c>
      <c r="C77" s="8">
        <v>41533</v>
      </c>
      <c r="E77">
        <v>400</v>
      </c>
      <c r="H77" s="8">
        <v>41647</v>
      </c>
      <c r="I77" t="s">
        <v>78</v>
      </c>
      <c r="J77" t="s">
        <v>70</v>
      </c>
      <c r="K77">
        <v>6.7500000000000004E-2</v>
      </c>
      <c r="L77">
        <v>7</v>
      </c>
      <c r="M77">
        <v>0.25925925925925924</v>
      </c>
      <c r="N77">
        <v>0.11018450878676668</v>
      </c>
      <c r="O77">
        <v>7.1349966951874885E-2</v>
      </c>
      <c r="P77">
        <v>1.849813958011571E-5</v>
      </c>
    </row>
    <row r="78" spans="1:16" x14ac:dyDescent="0.25">
      <c r="A78" t="s">
        <v>56</v>
      </c>
      <c r="B78" t="s">
        <v>57</v>
      </c>
      <c r="C78" s="8">
        <v>41533</v>
      </c>
      <c r="E78">
        <v>400</v>
      </c>
      <c r="H78" s="8">
        <v>41647</v>
      </c>
      <c r="I78" t="s">
        <v>60</v>
      </c>
      <c r="J78" t="s">
        <v>70</v>
      </c>
      <c r="K78">
        <v>5.2499999999999998E-2</v>
      </c>
      <c r="L78">
        <v>24</v>
      </c>
      <c r="M78">
        <v>1.1428571428571428</v>
      </c>
      <c r="N78">
        <v>0.16807775321695537</v>
      </c>
      <c r="O78">
        <v>0.1430850659719772</v>
      </c>
      <c r="P78">
        <v>1.6352578968225964E-4</v>
      </c>
    </row>
    <row r="79" spans="1:16" x14ac:dyDescent="0.25">
      <c r="A79" t="s">
        <v>56</v>
      </c>
      <c r="B79" t="s">
        <v>57</v>
      </c>
      <c r="C79" s="8">
        <v>41533</v>
      </c>
      <c r="E79">
        <v>400</v>
      </c>
      <c r="H79" s="8">
        <v>41647</v>
      </c>
      <c r="I79" t="s">
        <v>61</v>
      </c>
      <c r="J79" t="s">
        <v>70</v>
      </c>
      <c r="K79">
        <v>6.7500000000000004E-2</v>
      </c>
      <c r="L79">
        <v>14</v>
      </c>
      <c r="M79">
        <v>0.51851851851851849</v>
      </c>
      <c r="N79">
        <v>0.1869270745582978</v>
      </c>
      <c r="O79">
        <v>0.18414614102452703</v>
      </c>
      <c r="P79">
        <v>9.5483184234939947E-5</v>
      </c>
    </row>
    <row r="80" spans="1:16" x14ac:dyDescent="0.25">
      <c r="A80" t="s">
        <v>56</v>
      </c>
      <c r="B80" t="s">
        <v>57</v>
      </c>
      <c r="C80" s="8">
        <v>41533</v>
      </c>
      <c r="E80">
        <v>400</v>
      </c>
      <c r="H80" s="8">
        <v>41647</v>
      </c>
      <c r="I80" t="s">
        <v>62</v>
      </c>
      <c r="J80" t="s">
        <v>70</v>
      </c>
      <c r="K80">
        <v>0.35499999999999998</v>
      </c>
      <c r="L80">
        <v>18</v>
      </c>
      <c r="M80">
        <v>0.12676056338028169</v>
      </c>
      <c r="N80">
        <v>0.49147122620128414</v>
      </c>
      <c r="O80">
        <v>1.0494916753406816</v>
      </c>
      <c r="P80">
        <v>1.3303415602910047E-4</v>
      </c>
    </row>
    <row r="81" spans="1:16" x14ac:dyDescent="0.25">
      <c r="A81" t="s">
        <v>56</v>
      </c>
      <c r="B81" t="s">
        <v>57</v>
      </c>
      <c r="C81" s="8">
        <v>41533</v>
      </c>
      <c r="E81">
        <v>400</v>
      </c>
      <c r="H81" s="8">
        <v>41647</v>
      </c>
      <c r="I81" t="s">
        <v>73</v>
      </c>
      <c r="J81" t="s">
        <v>70</v>
      </c>
      <c r="K81">
        <v>0.18</v>
      </c>
      <c r="L81">
        <v>21</v>
      </c>
      <c r="M81">
        <v>0.29166666666666669</v>
      </c>
      <c r="N81">
        <v>0.54281796979435171</v>
      </c>
      <c r="O81">
        <v>1.3119639719749561</v>
      </c>
      <c r="P81">
        <v>3.8265615849269552E-4</v>
      </c>
    </row>
    <row r="82" spans="1:16" x14ac:dyDescent="0.25">
      <c r="A82" t="s">
        <v>56</v>
      </c>
      <c r="B82" t="s">
        <v>57</v>
      </c>
      <c r="C82" s="8">
        <v>41533</v>
      </c>
      <c r="E82">
        <v>400</v>
      </c>
      <c r="H82" s="8">
        <v>41647</v>
      </c>
      <c r="I82" t="s">
        <v>63</v>
      </c>
      <c r="J82" t="s">
        <v>70</v>
      </c>
      <c r="K82">
        <v>0.35499999999999998</v>
      </c>
      <c r="L82">
        <v>29</v>
      </c>
      <c r="M82">
        <v>0.20422535211267606</v>
      </c>
      <c r="N82">
        <v>0.80587961306796008</v>
      </c>
      <c r="O82">
        <v>3.804442031671619</v>
      </c>
      <c r="P82">
        <v>7.7696351351040107E-4</v>
      </c>
    </row>
    <row r="83" spans="1:16" x14ac:dyDescent="0.25">
      <c r="A83" t="s">
        <v>56</v>
      </c>
      <c r="B83" t="s">
        <v>57</v>
      </c>
      <c r="C83" s="8">
        <v>41533</v>
      </c>
      <c r="E83">
        <v>400</v>
      </c>
      <c r="H83" s="8">
        <v>41647</v>
      </c>
      <c r="I83" t="s">
        <v>64</v>
      </c>
      <c r="J83" t="s">
        <v>70</v>
      </c>
      <c r="K83">
        <v>0.18</v>
      </c>
      <c r="L83">
        <v>38</v>
      </c>
      <c r="M83">
        <v>0.52777777777777779</v>
      </c>
      <c r="N83">
        <v>0.93442656402439461</v>
      </c>
      <c r="O83">
        <v>4.7607049080840511</v>
      </c>
      <c r="P83">
        <v>2.5125942570443606E-3</v>
      </c>
    </row>
    <row r="84" spans="1:16" x14ac:dyDescent="0.25">
      <c r="A84" t="s">
        <v>56</v>
      </c>
      <c r="B84" t="s">
        <v>57</v>
      </c>
      <c r="C84" s="8">
        <v>41533</v>
      </c>
      <c r="E84">
        <v>400</v>
      </c>
      <c r="H84" s="8">
        <v>41647</v>
      </c>
      <c r="I84" t="s">
        <v>65</v>
      </c>
      <c r="J84" t="s">
        <v>70</v>
      </c>
      <c r="K84">
        <v>1</v>
      </c>
      <c r="L84">
        <v>2</v>
      </c>
      <c r="M84">
        <v>5.0000000000000001E-3</v>
      </c>
      <c r="N84">
        <v>0.59484096257235008</v>
      </c>
      <c r="O84">
        <v>1.678842594808398</v>
      </c>
      <c r="P84">
        <v>8.3942129740419915E-6</v>
      </c>
    </row>
    <row r="85" spans="1:16" x14ac:dyDescent="0.25">
      <c r="A85" t="s">
        <v>56</v>
      </c>
      <c r="B85" t="s">
        <v>57</v>
      </c>
      <c r="C85" s="8">
        <v>41533</v>
      </c>
      <c r="E85">
        <v>400</v>
      </c>
      <c r="H85" s="8">
        <v>41647</v>
      </c>
      <c r="I85" t="s">
        <v>66</v>
      </c>
      <c r="J85" t="s">
        <v>70</v>
      </c>
      <c r="K85">
        <v>1</v>
      </c>
      <c r="L85">
        <v>6</v>
      </c>
      <c r="M85">
        <v>1.4999999999999999E-2</v>
      </c>
      <c r="N85">
        <v>1.6693063457440829</v>
      </c>
      <c r="O85">
        <v>19.618189904632739</v>
      </c>
      <c r="P85">
        <v>2.9427284856949109E-4</v>
      </c>
    </row>
    <row r="86" spans="1:16" x14ac:dyDescent="0.25">
      <c r="A86" t="s">
        <v>56</v>
      </c>
      <c r="B86" t="s">
        <v>57</v>
      </c>
      <c r="C86" s="8">
        <v>41533</v>
      </c>
      <c r="E86">
        <v>400</v>
      </c>
      <c r="H86" s="8">
        <v>41647</v>
      </c>
      <c r="I86" t="s">
        <v>67</v>
      </c>
      <c r="J86" t="s">
        <v>70</v>
      </c>
      <c r="K86">
        <v>3.7499999999999999E-2</v>
      </c>
      <c r="L86">
        <v>38</v>
      </c>
      <c r="M86">
        <v>2.5333333333333332</v>
      </c>
      <c r="N86">
        <v>0.4467968651226808</v>
      </c>
      <c r="O86">
        <v>3.0255451625631138</v>
      </c>
      <c r="P86">
        <v>7.6647144118265542E-3</v>
      </c>
    </row>
    <row r="87" spans="1:16" x14ac:dyDescent="0.25">
      <c r="A87" t="s">
        <v>56</v>
      </c>
      <c r="B87" t="s">
        <v>57</v>
      </c>
      <c r="C87" s="8">
        <v>41533</v>
      </c>
      <c r="E87">
        <v>400</v>
      </c>
      <c r="H87" s="8">
        <v>41647</v>
      </c>
      <c r="I87" t="s">
        <v>68</v>
      </c>
      <c r="J87" t="s">
        <v>70</v>
      </c>
      <c r="K87">
        <v>0.18</v>
      </c>
      <c r="L87">
        <v>42</v>
      </c>
      <c r="M87">
        <v>0.58333333333333337</v>
      </c>
      <c r="N87">
        <v>0.66825078524078962</v>
      </c>
      <c r="O87">
        <v>1.8541218824818719</v>
      </c>
      <c r="P87">
        <v>1.0815710981144254E-3</v>
      </c>
    </row>
    <row r="88" spans="1:16" x14ac:dyDescent="0.25">
      <c r="A88" t="s">
        <v>56</v>
      </c>
      <c r="B88" t="s">
        <v>57</v>
      </c>
      <c r="C88" s="8">
        <v>41533</v>
      </c>
      <c r="E88">
        <v>400</v>
      </c>
      <c r="H88" s="8">
        <v>41647</v>
      </c>
      <c r="I88" t="s">
        <v>69</v>
      </c>
      <c r="J88" t="s">
        <v>70</v>
      </c>
      <c r="K88">
        <v>0.18</v>
      </c>
      <c r="L88">
        <v>31</v>
      </c>
      <c r="M88">
        <v>0.43055555555555558</v>
      </c>
      <c r="N88">
        <v>0.82334957365211558</v>
      </c>
      <c r="O88">
        <v>7.0346718554548087</v>
      </c>
      <c r="P88">
        <v>3.0288170488763761E-3</v>
      </c>
    </row>
    <row r="89" spans="1:16" x14ac:dyDescent="0.25">
      <c r="A89" t="s">
        <v>56</v>
      </c>
      <c r="B89" t="s">
        <v>57</v>
      </c>
      <c r="C89" s="8">
        <v>41533</v>
      </c>
      <c r="E89">
        <v>400</v>
      </c>
      <c r="H89" s="8">
        <v>41647</v>
      </c>
      <c r="I89" t="s">
        <v>80</v>
      </c>
      <c r="J89" t="s">
        <v>70</v>
      </c>
      <c r="K89">
        <v>0.35499999999999998</v>
      </c>
      <c r="L89">
        <v>19</v>
      </c>
      <c r="M89">
        <v>0.13380281690140844</v>
      </c>
      <c r="N89">
        <v>0.6109558280771139</v>
      </c>
      <c r="O89">
        <v>3.0319602510139663</v>
      </c>
      <c r="P89">
        <v>4.0568482231877011E-4</v>
      </c>
    </row>
    <row r="90" spans="1:16" x14ac:dyDescent="0.25">
      <c r="A90" t="s">
        <v>56</v>
      </c>
      <c r="B90" t="s">
        <v>57</v>
      </c>
      <c r="C90" s="8">
        <v>41533</v>
      </c>
      <c r="E90">
        <v>400</v>
      </c>
      <c r="H90" s="8">
        <v>41647</v>
      </c>
      <c r="I90" t="s">
        <v>67</v>
      </c>
      <c r="J90" t="s">
        <v>77</v>
      </c>
      <c r="K90">
        <v>3.7499999999999999E-2</v>
      </c>
      <c r="L90">
        <v>1</v>
      </c>
      <c r="M90">
        <v>6.6666666666666666E-2</v>
      </c>
    </row>
    <row r="91" spans="1:16" x14ac:dyDescent="0.25">
      <c r="A91" t="s">
        <v>56</v>
      </c>
      <c r="B91" t="s">
        <v>57</v>
      </c>
      <c r="C91" s="8">
        <v>41533</v>
      </c>
      <c r="E91">
        <v>400</v>
      </c>
      <c r="H91" s="8">
        <v>41647</v>
      </c>
      <c r="I91" t="s">
        <v>68</v>
      </c>
      <c r="J91" t="s">
        <v>77</v>
      </c>
      <c r="K91">
        <v>0.18</v>
      </c>
      <c r="L91">
        <v>2</v>
      </c>
      <c r="M91">
        <v>2.7777777777777776E-2</v>
      </c>
    </row>
    <row r="92" spans="1:16" x14ac:dyDescent="0.25">
      <c r="A92" t="s">
        <v>56</v>
      </c>
      <c r="B92" t="s">
        <v>57</v>
      </c>
      <c r="C92" s="8">
        <v>41533</v>
      </c>
      <c r="E92">
        <v>400</v>
      </c>
      <c r="H92" s="8">
        <v>41647</v>
      </c>
      <c r="I92" t="s">
        <v>71</v>
      </c>
      <c r="J92" t="s">
        <v>77</v>
      </c>
      <c r="K92">
        <v>0.35499999999999998</v>
      </c>
      <c r="L92">
        <v>6</v>
      </c>
      <c r="M92">
        <v>4.2253521126760563E-2</v>
      </c>
    </row>
    <row r="93" spans="1:16" x14ac:dyDescent="0.25">
      <c r="A93" t="s">
        <v>56</v>
      </c>
      <c r="B93" t="s">
        <v>57</v>
      </c>
      <c r="C93" s="8">
        <v>41533</v>
      </c>
      <c r="E93">
        <v>400</v>
      </c>
      <c r="H93" s="8">
        <v>41647</v>
      </c>
      <c r="I93" t="s">
        <v>74</v>
      </c>
      <c r="J93" t="s">
        <v>77</v>
      </c>
      <c r="K93">
        <v>0.35499999999999998</v>
      </c>
      <c r="L93">
        <v>38</v>
      </c>
      <c r="M93">
        <v>0.26760563380281688</v>
      </c>
    </row>
    <row r="94" spans="1:16" x14ac:dyDescent="0.25">
      <c r="A94" t="s">
        <v>56</v>
      </c>
      <c r="B94" t="s">
        <v>57</v>
      </c>
      <c r="C94" s="8">
        <v>41533</v>
      </c>
      <c r="E94">
        <v>400</v>
      </c>
      <c r="H94" s="8">
        <v>41647</v>
      </c>
      <c r="I94" t="s">
        <v>72</v>
      </c>
      <c r="J94" t="s">
        <v>77</v>
      </c>
      <c r="K94">
        <v>0.35499999999999998</v>
      </c>
      <c r="L94">
        <v>6</v>
      </c>
      <c r="M94">
        <v>4.2253521126760563E-2</v>
      </c>
    </row>
    <row r="95" spans="1:16" x14ac:dyDescent="0.25">
      <c r="A95" t="s">
        <v>56</v>
      </c>
      <c r="B95" t="s">
        <v>57</v>
      </c>
      <c r="C95" s="8">
        <v>41533</v>
      </c>
      <c r="E95">
        <v>400</v>
      </c>
      <c r="H95" s="8">
        <v>41647</v>
      </c>
      <c r="I95" t="s">
        <v>76</v>
      </c>
      <c r="J95" t="s">
        <v>77</v>
      </c>
      <c r="K95">
        <v>0.35499999999999998</v>
      </c>
      <c r="L95">
        <v>4</v>
      </c>
      <c r="M95">
        <v>2.8169014084507043E-2</v>
      </c>
    </row>
    <row r="96" spans="1:16" x14ac:dyDescent="0.25">
      <c r="A96" t="s">
        <v>56</v>
      </c>
      <c r="B96" t="s">
        <v>57</v>
      </c>
      <c r="C96" s="8">
        <v>41563</v>
      </c>
      <c r="E96">
        <v>400</v>
      </c>
      <c r="H96" s="8">
        <v>41648</v>
      </c>
      <c r="I96" t="s">
        <v>59</v>
      </c>
      <c r="J96" t="s">
        <v>70</v>
      </c>
      <c r="K96">
        <v>3.7499999999999999E-2</v>
      </c>
      <c r="L96">
        <v>7</v>
      </c>
      <c r="M96">
        <v>0.46666666666666667</v>
      </c>
      <c r="N96">
        <v>0.13547965421968305</v>
      </c>
      <c r="O96">
        <v>9.990612538882733E-2</v>
      </c>
      <c r="P96">
        <v>4.6622858514786085E-5</v>
      </c>
    </row>
    <row r="97" spans="1:16" x14ac:dyDescent="0.25">
      <c r="A97" t="s">
        <v>56</v>
      </c>
      <c r="B97" t="s">
        <v>57</v>
      </c>
      <c r="C97" s="8">
        <v>41563</v>
      </c>
      <c r="E97">
        <v>400</v>
      </c>
      <c r="H97" s="8">
        <v>41648</v>
      </c>
      <c r="I97" t="s">
        <v>78</v>
      </c>
      <c r="J97" t="s">
        <v>70</v>
      </c>
      <c r="K97">
        <v>3.7499999999999999E-2</v>
      </c>
      <c r="L97">
        <v>12</v>
      </c>
      <c r="M97">
        <v>0.8</v>
      </c>
      <c r="N97">
        <v>0.10757377920339385</v>
      </c>
      <c r="O97">
        <v>6.8424621257860571E-2</v>
      </c>
      <c r="P97">
        <v>5.473969700628846E-5</v>
      </c>
    </row>
    <row r="98" spans="1:16" x14ac:dyDescent="0.25">
      <c r="A98" t="s">
        <v>56</v>
      </c>
      <c r="B98" t="s">
        <v>57</v>
      </c>
      <c r="C98" s="8">
        <v>41563</v>
      </c>
      <c r="E98">
        <v>400</v>
      </c>
      <c r="H98" s="8">
        <v>41648</v>
      </c>
      <c r="I98" t="s">
        <v>60</v>
      </c>
      <c r="J98" t="s">
        <v>70</v>
      </c>
      <c r="K98">
        <v>2.2499999999999999E-2</v>
      </c>
      <c r="L98">
        <v>24</v>
      </c>
      <c r="M98">
        <v>2.6666666666666665</v>
      </c>
      <c r="N98">
        <v>0.16249228695309784</v>
      </c>
      <c r="O98">
        <v>0.13516499592098791</v>
      </c>
      <c r="P98">
        <v>3.6043998912263443E-4</v>
      </c>
    </row>
    <row r="99" spans="1:16" x14ac:dyDescent="0.25">
      <c r="A99" t="s">
        <v>56</v>
      </c>
      <c r="B99" t="s">
        <v>57</v>
      </c>
      <c r="C99" s="8">
        <v>41563</v>
      </c>
      <c r="E99">
        <v>400</v>
      </c>
      <c r="H99" s="8">
        <v>41648</v>
      </c>
      <c r="I99" t="s">
        <v>61</v>
      </c>
      <c r="J99" t="s">
        <v>70</v>
      </c>
      <c r="K99">
        <v>0.3775</v>
      </c>
      <c r="L99">
        <v>19</v>
      </c>
      <c r="M99">
        <v>0.12582781456953643</v>
      </c>
      <c r="N99">
        <v>0.18684775775674228</v>
      </c>
      <c r="O99">
        <v>0.18171073437125684</v>
      </c>
      <c r="P99">
        <v>2.2864264589760793E-5</v>
      </c>
    </row>
    <row r="100" spans="1:16" x14ac:dyDescent="0.25">
      <c r="A100" t="s">
        <v>56</v>
      </c>
      <c r="B100" t="s">
        <v>57</v>
      </c>
      <c r="C100" s="8">
        <v>41563</v>
      </c>
      <c r="E100">
        <v>400</v>
      </c>
      <c r="H100" s="8">
        <v>41648</v>
      </c>
      <c r="I100" t="s">
        <v>62</v>
      </c>
      <c r="J100" t="s">
        <v>70</v>
      </c>
      <c r="K100">
        <v>0.22750000000000001</v>
      </c>
      <c r="L100">
        <v>26</v>
      </c>
      <c r="M100">
        <v>0.2857142857142857</v>
      </c>
      <c r="N100">
        <v>0.40277361361766223</v>
      </c>
      <c r="O100">
        <v>0.66035283783187182</v>
      </c>
      <c r="P100">
        <v>1.8867223938053479E-4</v>
      </c>
    </row>
    <row r="101" spans="1:16" x14ac:dyDescent="0.25">
      <c r="A101" t="s">
        <v>56</v>
      </c>
      <c r="B101" t="s">
        <v>57</v>
      </c>
      <c r="C101" s="8">
        <v>41563</v>
      </c>
      <c r="E101">
        <v>400</v>
      </c>
      <c r="H101" s="8">
        <v>41648</v>
      </c>
      <c r="I101" t="s">
        <v>73</v>
      </c>
      <c r="J101" t="s">
        <v>70</v>
      </c>
      <c r="K101">
        <v>0.52749999999999997</v>
      </c>
      <c r="L101">
        <v>1</v>
      </c>
      <c r="M101">
        <v>4.7393364928909956E-3</v>
      </c>
      <c r="N101">
        <v>0.93912150539156269</v>
      </c>
      <c r="O101">
        <v>4.7125750813795531</v>
      </c>
      <c r="P101">
        <v>2.2334479058670869E-5</v>
      </c>
    </row>
    <row r="102" spans="1:16" x14ac:dyDescent="0.25">
      <c r="A102" t="s">
        <v>56</v>
      </c>
      <c r="B102" t="s">
        <v>57</v>
      </c>
      <c r="C102" s="8">
        <v>41563</v>
      </c>
      <c r="E102">
        <v>400</v>
      </c>
      <c r="H102" s="8">
        <v>41648</v>
      </c>
      <c r="I102" t="s">
        <v>63</v>
      </c>
      <c r="J102" t="s">
        <v>70</v>
      </c>
      <c r="K102">
        <v>0.22750000000000001</v>
      </c>
      <c r="L102">
        <v>28</v>
      </c>
      <c r="M102">
        <v>0.30769230769230771</v>
      </c>
      <c r="N102">
        <v>0.82637449791813089</v>
      </c>
      <c r="O102">
        <v>4.0093550162132612</v>
      </c>
      <c r="P102">
        <v>1.2336476972963882E-3</v>
      </c>
    </row>
    <row r="103" spans="1:16" x14ac:dyDescent="0.25">
      <c r="A103" t="s">
        <v>56</v>
      </c>
      <c r="B103" t="s">
        <v>57</v>
      </c>
      <c r="C103" s="8">
        <v>41563</v>
      </c>
      <c r="E103">
        <v>400</v>
      </c>
      <c r="H103" s="8">
        <v>41648</v>
      </c>
      <c r="I103" t="s">
        <v>64</v>
      </c>
      <c r="J103" t="s">
        <v>70</v>
      </c>
      <c r="K103">
        <v>0.52749999999999997</v>
      </c>
      <c r="L103">
        <v>33</v>
      </c>
      <c r="M103">
        <v>0.15639810426540285</v>
      </c>
      <c r="N103">
        <v>1.038115165411734</v>
      </c>
      <c r="O103">
        <v>6.1110282438263512</v>
      </c>
      <c r="P103">
        <v>9.5575323244677531E-4</v>
      </c>
    </row>
    <row r="104" spans="1:16" x14ac:dyDescent="0.25">
      <c r="A104" t="s">
        <v>56</v>
      </c>
      <c r="B104" t="s">
        <v>57</v>
      </c>
      <c r="C104" s="8">
        <v>41563</v>
      </c>
      <c r="E104">
        <v>400</v>
      </c>
      <c r="H104" s="8">
        <v>41648</v>
      </c>
      <c r="I104" t="s">
        <v>66</v>
      </c>
      <c r="J104" t="s">
        <v>70</v>
      </c>
      <c r="K104">
        <v>0.52749999999999997</v>
      </c>
      <c r="L104">
        <v>2</v>
      </c>
      <c r="M104">
        <v>9.4786729857819912E-3</v>
      </c>
      <c r="N104">
        <v>1.3167868373575322</v>
      </c>
      <c r="O104">
        <v>12.104235047324476</v>
      </c>
      <c r="P104">
        <v>1.1473208575663012E-4</v>
      </c>
    </row>
    <row r="105" spans="1:16" x14ac:dyDescent="0.25">
      <c r="A105" t="s">
        <v>56</v>
      </c>
      <c r="B105" t="s">
        <v>57</v>
      </c>
      <c r="C105" s="8">
        <v>41563</v>
      </c>
      <c r="E105">
        <v>400</v>
      </c>
      <c r="H105" s="8">
        <v>41648</v>
      </c>
      <c r="I105" t="s">
        <v>67</v>
      </c>
      <c r="J105" t="s">
        <v>70</v>
      </c>
      <c r="K105">
        <v>5.2499999999999998E-2</v>
      </c>
      <c r="L105">
        <v>39</v>
      </c>
      <c r="M105">
        <v>1.8571428571428572</v>
      </c>
      <c r="N105">
        <v>0.4413950491628702</v>
      </c>
      <c r="O105">
        <v>2.9465968181927371</v>
      </c>
      <c r="P105">
        <v>5.4722512337865119E-3</v>
      </c>
    </row>
    <row r="106" spans="1:16" x14ac:dyDescent="0.25">
      <c r="A106" t="s">
        <v>56</v>
      </c>
      <c r="B106" t="s">
        <v>57</v>
      </c>
      <c r="C106" s="8">
        <v>41563</v>
      </c>
      <c r="E106">
        <v>400</v>
      </c>
      <c r="H106" s="8">
        <v>41648</v>
      </c>
      <c r="I106" t="s">
        <v>68</v>
      </c>
      <c r="J106" t="s">
        <v>70</v>
      </c>
      <c r="K106">
        <v>0.22750000000000001</v>
      </c>
      <c r="L106">
        <v>39</v>
      </c>
      <c r="M106">
        <v>0.42857142857142855</v>
      </c>
      <c r="N106">
        <v>0.73014475460489492</v>
      </c>
      <c r="O106">
        <v>2.2438047992055221</v>
      </c>
      <c r="P106">
        <v>9.6163062823093808E-4</v>
      </c>
    </row>
    <row r="107" spans="1:16" x14ac:dyDescent="0.25">
      <c r="A107" t="s">
        <v>56</v>
      </c>
      <c r="B107" t="s">
        <v>57</v>
      </c>
      <c r="C107" s="8">
        <v>41563</v>
      </c>
      <c r="E107">
        <v>400</v>
      </c>
      <c r="H107" s="8">
        <v>41648</v>
      </c>
      <c r="I107" t="s">
        <v>69</v>
      </c>
      <c r="J107" t="s">
        <v>70</v>
      </c>
      <c r="K107">
        <v>7.7499999999999999E-2</v>
      </c>
      <c r="L107">
        <v>34</v>
      </c>
      <c r="M107">
        <v>1.096774193548387</v>
      </c>
      <c r="N107">
        <v>0.70763814175176865</v>
      </c>
      <c r="O107">
        <v>4.6148857592363921</v>
      </c>
      <c r="P107">
        <v>5.0614876069044294E-3</v>
      </c>
    </row>
    <row r="108" spans="1:16" x14ac:dyDescent="0.25">
      <c r="A108" t="s">
        <v>56</v>
      </c>
      <c r="B108" t="s">
        <v>57</v>
      </c>
      <c r="C108" s="8">
        <v>41563</v>
      </c>
      <c r="E108">
        <v>400</v>
      </c>
      <c r="H108" s="8">
        <v>41648</v>
      </c>
      <c r="I108" t="s">
        <v>80</v>
      </c>
      <c r="J108" t="s">
        <v>70</v>
      </c>
      <c r="K108">
        <v>0.52749999999999997</v>
      </c>
      <c r="L108">
        <v>18</v>
      </c>
      <c r="M108">
        <v>8.5308056872037921E-2</v>
      </c>
      <c r="N108">
        <v>0.58236010759016088</v>
      </c>
      <c r="O108">
        <v>2.8819519784155823</v>
      </c>
      <c r="P108">
        <v>2.4585372327715868E-4</v>
      </c>
    </row>
    <row r="109" spans="1:16" x14ac:dyDescent="0.25">
      <c r="A109" t="s">
        <v>56</v>
      </c>
      <c r="B109" t="s">
        <v>57</v>
      </c>
      <c r="C109" s="8">
        <v>41563</v>
      </c>
      <c r="E109">
        <v>400</v>
      </c>
      <c r="H109" s="8">
        <v>41648</v>
      </c>
      <c r="I109" t="s">
        <v>67</v>
      </c>
      <c r="J109" t="s">
        <v>77</v>
      </c>
      <c r="K109">
        <v>5.2499999999999998E-2</v>
      </c>
      <c r="L109">
        <v>2</v>
      </c>
      <c r="M109">
        <v>9.5238095238095233E-2</v>
      </c>
    </row>
    <row r="110" spans="1:16" x14ac:dyDescent="0.25">
      <c r="A110" t="s">
        <v>56</v>
      </c>
      <c r="B110" t="s">
        <v>57</v>
      </c>
      <c r="C110" s="8">
        <v>41563</v>
      </c>
      <c r="E110">
        <v>400</v>
      </c>
      <c r="H110" s="8">
        <v>41648</v>
      </c>
      <c r="I110" t="s">
        <v>68</v>
      </c>
      <c r="J110" t="s">
        <v>77</v>
      </c>
      <c r="K110">
        <v>0.22750000000000001</v>
      </c>
      <c r="L110">
        <v>2</v>
      </c>
      <c r="M110">
        <v>2.197802197802198E-2</v>
      </c>
    </row>
    <row r="111" spans="1:16" x14ac:dyDescent="0.25">
      <c r="A111" t="s">
        <v>56</v>
      </c>
      <c r="B111" t="s">
        <v>57</v>
      </c>
      <c r="C111" s="8">
        <v>41563</v>
      </c>
      <c r="E111">
        <v>400</v>
      </c>
      <c r="H111" s="8">
        <v>41648</v>
      </c>
      <c r="I111" t="s">
        <v>71</v>
      </c>
      <c r="J111" t="s">
        <v>77</v>
      </c>
      <c r="K111">
        <v>0.3775</v>
      </c>
      <c r="L111">
        <v>12</v>
      </c>
      <c r="M111">
        <v>7.9470198675496692E-2</v>
      </c>
    </row>
    <row r="112" spans="1:16" x14ac:dyDescent="0.25">
      <c r="A112" t="s">
        <v>56</v>
      </c>
      <c r="B112" t="s">
        <v>57</v>
      </c>
      <c r="C112" s="8">
        <v>41563</v>
      </c>
      <c r="E112">
        <v>400</v>
      </c>
      <c r="H112" s="8">
        <v>41648</v>
      </c>
      <c r="I112" t="s">
        <v>74</v>
      </c>
      <c r="J112" t="s">
        <v>77</v>
      </c>
      <c r="K112">
        <v>0.3775</v>
      </c>
      <c r="L112">
        <v>30</v>
      </c>
      <c r="M112">
        <v>0.19867549668874171</v>
      </c>
    </row>
    <row r="113" spans="1:16" x14ac:dyDescent="0.25">
      <c r="A113" t="s">
        <v>56</v>
      </c>
      <c r="B113" t="s">
        <v>57</v>
      </c>
      <c r="C113" s="8">
        <v>41563</v>
      </c>
      <c r="E113">
        <v>400</v>
      </c>
      <c r="H113" s="8">
        <v>41648</v>
      </c>
      <c r="I113" t="s">
        <v>72</v>
      </c>
      <c r="J113" t="s">
        <v>77</v>
      </c>
      <c r="K113">
        <v>0.3775</v>
      </c>
      <c r="L113">
        <v>7</v>
      </c>
      <c r="M113">
        <v>4.6357615894039736E-2</v>
      </c>
    </row>
    <row r="114" spans="1:16" x14ac:dyDescent="0.25">
      <c r="A114" t="s">
        <v>56</v>
      </c>
      <c r="B114" t="s">
        <v>57</v>
      </c>
      <c r="C114" s="8">
        <v>41563</v>
      </c>
      <c r="E114">
        <v>400</v>
      </c>
      <c r="H114" s="8">
        <v>41648</v>
      </c>
      <c r="I114" t="s">
        <v>76</v>
      </c>
      <c r="J114" t="s">
        <v>77</v>
      </c>
      <c r="K114">
        <v>0.3775</v>
      </c>
      <c r="L114">
        <v>3</v>
      </c>
      <c r="M114">
        <v>1.9867549668874173E-2</v>
      </c>
    </row>
    <row r="115" spans="1:16" x14ac:dyDescent="0.25">
      <c r="A115" t="s">
        <v>56</v>
      </c>
      <c r="B115" t="s">
        <v>57</v>
      </c>
      <c r="C115" s="8">
        <v>41583</v>
      </c>
      <c r="E115">
        <v>400</v>
      </c>
      <c r="H115" s="8">
        <v>41653</v>
      </c>
      <c r="I115" t="s">
        <v>59</v>
      </c>
      <c r="J115" t="s">
        <v>70</v>
      </c>
      <c r="K115">
        <v>2.2499999999999999E-2</v>
      </c>
      <c r="L115">
        <v>4</v>
      </c>
      <c r="M115">
        <v>0.44444444444444442</v>
      </c>
      <c r="N115">
        <v>0.12696019170489217</v>
      </c>
      <c r="O115">
        <v>8.8984450767897322E-2</v>
      </c>
      <c r="P115">
        <v>3.9548644785732139E-5</v>
      </c>
    </row>
    <row r="116" spans="1:16" x14ac:dyDescent="0.25">
      <c r="A116" t="s">
        <v>56</v>
      </c>
      <c r="B116" t="s">
        <v>57</v>
      </c>
      <c r="C116" s="8">
        <v>41583</v>
      </c>
      <c r="E116">
        <v>400</v>
      </c>
      <c r="H116" s="8">
        <v>41653</v>
      </c>
      <c r="I116" t="s">
        <v>78</v>
      </c>
      <c r="J116" t="s">
        <v>70</v>
      </c>
      <c r="K116">
        <v>2.2499999999999999E-2</v>
      </c>
      <c r="L116">
        <v>13</v>
      </c>
      <c r="M116">
        <v>1.4444444444444444</v>
      </c>
      <c r="N116">
        <v>9.6770915741558855E-2</v>
      </c>
      <c r="O116">
        <v>5.7280820080402819E-2</v>
      </c>
      <c r="P116">
        <v>8.2738962338359628E-5</v>
      </c>
    </row>
    <row r="117" spans="1:16" x14ac:dyDescent="0.25">
      <c r="A117" t="s">
        <v>56</v>
      </c>
      <c r="B117" t="s">
        <v>57</v>
      </c>
      <c r="C117" s="8">
        <v>41583</v>
      </c>
      <c r="E117">
        <v>400</v>
      </c>
      <c r="H117" s="8">
        <v>41653</v>
      </c>
      <c r="I117" t="s">
        <v>81</v>
      </c>
      <c r="J117" t="s">
        <v>70</v>
      </c>
      <c r="K117">
        <v>2.2499999999999999E-2</v>
      </c>
      <c r="L117">
        <v>1</v>
      </c>
      <c r="M117">
        <v>0.1111111111111111</v>
      </c>
      <c r="N117">
        <v>0.15326951379633388</v>
      </c>
      <c r="O117">
        <v>0.12086063658100239</v>
      </c>
      <c r="P117">
        <v>1.3428959620111377E-5</v>
      </c>
    </row>
    <row r="118" spans="1:16" x14ac:dyDescent="0.25">
      <c r="A118" t="s">
        <v>56</v>
      </c>
      <c r="B118" t="s">
        <v>57</v>
      </c>
      <c r="C118" s="8">
        <v>41583</v>
      </c>
      <c r="E118">
        <v>400</v>
      </c>
      <c r="H118" s="8">
        <v>41653</v>
      </c>
      <c r="I118" t="s">
        <v>60</v>
      </c>
      <c r="J118" t="s">
        <v>70</v>
      </c>
      <c r="K118">
        <v>2.2499999999999999E-2</v>
      </c>
      <c r="L118">
        <v>20</v>
      </c>
      <c r="M118">
        <v>2.2222222222222223</v>
      </c>
      <c r="N118">
        <v>0.16728763829936188</v>
      </c>
      <c r="O118">
        <v>0.1409578137448726</v>
      </c>
      <c r="P118">
        <v>3.1323958609971692E-4</v>
      </c>
    </row>
    <row r="119" spans="1:16" x14ac:dyDescent="0.25">
      <c r="A119" t="s">
        <v>56</v>
      </c>
      <c r="B119" t="s">
        <v>57</v>
      </c>
      <c r="C119" s="8">
        <v>41583</v>
      </c>
      <c r="E119">
        <v>400</v>
      </c>
      <c r="H119" s="8">
        <v>41653</v>
      </c>
      <c r="I119" t="s">
        <v>61</v>
      </c>
      <c r="J119" t="s">
        <v>70</v>
      </c>
      <c r="K119">
        <v>0.38250000000000001</v>
      </c>
      <c r="L119">
        <v>11</v>
      </c>
      <c r="M119">
        <v>7.1895424836601302E-2</v>
      </c>
      <c r="N119">
        <v>0.23347285842469931</v>
      </c>
      <c r="O119">
        <v>0.2600084291132192</v>
      </c>
      <c r="P119">
        <v>1.8693416472192228E-5</v>
      </c>
    </row>
    <row r="120" spans="1:16" x14ac:dyDescent="0.25">
      <c r="A120" t="s">
        <v>56</v>
      </c>
      <c r="B120" t="s">
        <v>57</v>
      </c>
      <c r="C120" s="8">
        <v>41583</v>
      </c>
      <c r="E120">
        <v>400</v>
      </c>
      <c r="H120" s="8">
        <v>41653</v>
      </c>
      <c r="I120" t="s">
        <v>62</v>
      </c>
      <c r="J120" t="s">
        <v>70</v>
      </c>
      <c r="K120">
        <v>0.3075</v>
      </c>
      <c r="L120">
        <v>18</v>
      </c>
      <c r="M120">
        <v>0.14634146341463414</v>
      </c>
      <c r="N120">
        <v>0.44674220651327989</v>
      </c>
      <c r="O120">
        <v>0.84558385057161778</v>
      </c>
      <c r="P120">
        <v>1.2374397813243187E-4</v>
      </c>
    </row>
    <row r="121" spans="1:16" x14ac:dyDescent="0.25">
      <c r="A121" t="s">
        <v>56</v>
      </c>
      <c r="B121" t="s">
        <v>57</v>
      </c>
      <c r="C121" s="8">
        <v>41583</v>
      </c>
      <c r="E121">
        <v>400</v>
      </c>
      <c r="H121" s="8">
        <v>41653</v>
      </c>
      <c r="I121" t="s">
        <v>73</v>
      </c>
      <c r="J121" t="s">
        <v>70</v>
      </c>
      <c r="K121">
        <v>1</v>
      </c>
      <c r="L121">
        <v>10</v>
      </c>
      <c r="M121">
        <v>2.5000000000000001E-2</v>
      </c>
      <c r="N121">
        <v>0.54912795146852567</v>
      </c>
      <c r="O121">
        <v>1.3126478706851714</v>
      </c>
      <c r="P121">
        <v>3.2816196767129289E-5</v>
      </c>
    </row>
    <row r="122" spans="1:16" x14ac:dyDescent="0.25">
      <c r="A122" t="s">
        <v>56</v>
      </c>
      <c r="B122" t="s">
        <v>57</v>
      </c>
      <c r="C122" s="8">
        <v>41583</v>
      </c>
      <c r="E122">
        <v>400</v>
      </c>
      <c r="H122" s="8">
        <v>41653</v>
      </c>
      <c r="I122" t="s">
        <v>63</v>
      </c>
      <c r="J122" t="s">
        <v>70</v>
      </c>
      <c r="K122">
        <v>0.60750000000000004</v>
      </c>
      <c r="L122">
        <v>35</v>
      </c>
      <c r="M122">
        <v>0.14403292181069957</v>
      </c>
      <c r="N122">
        <v>0.80050396135016033</v>
      </c>
      <c r="O122">
        <v>3.751182440592046</v>
      </c>
      <c r="P122">
        <v>5.4029376716346336E-4</v>
      </c>
    </row>
    <row r="123" spans="1:16" x14ac:dyDescent="0.25">
      <c r="A123" t="s">
        <v>56</v>
      </c>
      <c r="B123" t="s">
        <v>57</v>
      </c>
      <c r="C123" s="8">
        <v>41583</v>
      </c>
      <c r="E123">
        <v>400</v>
      </c>
      <c r="H123" s="8">
        <v>41653</v>
      </c>
      <c r="I123" t="s">
        <v>64</v>
      </c>
      <c r="J123" t="s">
        <v>70</v>
      </c>
      <c r="K123">
        <v>1</v>
      </c>
      <c r="L123">
        <v>39</v>
      </c>
      <c r="M123">
        <v>9.7500000000000003E-2</v>
      </c>
      <c r="N123">
        <v>1.0502448117623053</v>
      </c>
      <c r="O123">
        <v>6.2400777553337194</v>
      </c>
      <c r="P123">
        <v>6.0840758114503763E-4</v>
      </c>
    </row>
    <row r="124" spans="1:16" x14ac:dyDescent="0.25">
      <c r="A124" t="s">
        <v>56</v>
      </c>
      <c r="B124" t="s">
        <v>57</v>
      </c>
      <c r="C124" s="8">
        <v>41583</v>
      </c>
      <c r="E124">
        <v>400</v>
      </c>
      <c r="H124" s="8">
        <v>41653</v>
      </c>
      <c r="I124" t="s">
        <v>66</v>
      </c>
      <c r="J124" t="s">
        <v>70</v>
      </c>
      <c r="K124">
        <v>1</v>
      </c>
      <c r="L124">
        <v>3</v>
      </c>
      <c r="M124">
        <v>7.4999999999999997E-3</v>
      </c>
      <c r="N124">
        <v>1.1874052107276114</v>
      </c>
      <c r="O124">
        <v>8.5080615416260503</v>
      </c>
      <c r="P124">
        <v>6.3810461562195366E-5</v>
      </c>
    </row>
    <row r="125" spans="1:16" x14ac:dyDescent="0.25">
      <c r="A125" t="s">
        <v>56</v>
      </c>
      <c r="B125" t="s">
        <v>57</v>
      </c>
      <c r="C125" s="8">
        <v>41583</v>
      </c>
      <c r="E125">
        <v>400</v>
      </c>
      <c r="H125" s="8">
        <v>41653</v>
      </c>
      <c r="I125" t="s">
        <v>67</v>
      </c>
      <c r="J125" t="s">
        <v>70</v>
      </c>
      <c r="K125">
        <v>9.7500000000000003E-2</v>
      </c>
      <c r="L125">
        <v>58</v>
      </c>
      <c r="M125">
        <v>1.4871794871794872</v>
      </c>
      <c r="N125">
        <v>0.41374779651552668</v>
      </c>
      <c r="O125">
        <v>2.5840626941691407</v>
      </c>
      <c r="P125">
        <v>3.8429650323541071E-3</v>
      </c>
    </row>
    <row r="126" spans="1:16" x14ac:dyDescent="0.25">
      <c r="A126" t="s">
        <v>56</v>
      </c>
      <c r="B126" t="s">
        <v>57</v>
      </c>
      <c r="C126" s="8">
        <v>41583</v>
      </c>
      <c r="E126">
        <v>400</v>
      </c>
      <c r="H126" s="8">
        <v>41653</v>
      </c>
      <c r="I126" t="s">
        <v>68</v>
      </c>
      <c r="J126" t="s">
        <v>70</v>
      </c>
      <c r="K126">
        <v>0.45750000000000002</v>
      </c>
      <c r="L126">
        <v>34</v>
      </c>
      <c r="M126">
        <v>0.18579234972677597</v>
      </c>
      <c r="N126">
        <v>0.63941461972722702</v>
      </c>
      <c r="O126">
        <v>1.6169679206783747</v>
      </c>
      <c r="P126">
        <v>3.0042026941565431E-4</v>
      </c>
    </row>
    <row r="127" spans="1:16" x14ac:dyDescent="0.25">
      <c r="A127" t="s">
        <v>56</v>
      </c>
      <c r="B127" t="s">
        <v>57</v>
      </c>
      <c r="C127" s="8">
        <v>41583</v>
      </c>
      <c r="E127">
        <v>400</v>
      </c>
      <c r="H127" s="8">
        <v>41653</v>
      </c>
      <c r="I127" t="s">
        <v>69</v>
      </c>
      <c r="J127" t="s">
        <v>70</v>
      </c>
      <c r="K127">
        <v>0.3075</v>
      </c>
      <c r="L127">
        <v>42</v>
      </c>
      <c r="M127">
        <v>0.34146341463414637</v>
      </c>
      <c r="N127">
        <v>0.63349516049916521</v>
      </c>
      <c r="O127">
        <v>3.2761462237675496</v>
      </c>
      <c r="P127">
        <v>1.1186840764084317E-3</v>
      </c>
    </row>
    <row r="128" spans="1:16" x14ac:dyDescent="0.25">
      <c r="A128" t="s">
        <v>56</v>
      </c>
      <c r="B128" t="s">
        <v>57</v>
      </c>
      <c r="C128" s="8">
        <v>41583</v>
      </c>
      <c r="E128">
        <v>400</v>
      </c>
      <c r="H128" s="8">
        <v>41653</v>
      </c>
      <c r="I128" t="s">
        <v>80</v>
      </c>
      <c r="J128" t="s">
        <v>70</v>
      </c>
      <c r="K128">
        <v>0.3075</v>
      </c>
      <c r="L128">
        <v>3</v>
      </c>
      <c r="M128">
        <v>2.4390243902439025E-2</v>
      </c>
      <c r="N128">
        <v>0.55558037069595267</v>
      </c>
      <c r="O128">
        <v>2.7427447661346132</v>
      </c>
      <c r="P128">
        <v>6.6896213808161298E-5</v>
      </c>
    </row>
    <row r="129" spans="1:13" x14ac:dyDescent="0.25">
      <c r="A129" t="s">
        <v>56</v>
      </c>
      <c r="B129" t="s">
        <v>57</v>
      </c>
      <c r="C129" s="8">
        <v>41583</v>
      </c>
      <c r="E129">
        <v>400</v>
      </c>
      <c r="H129" s="8">
        <v>41653</v>
      </c>
      <c r="I129" t="s">
        <v>67</v>
      </c>
      <c r="J129" t="s">
        <v>77</v>
      </c>
      <c r="K129">
        <v>9.7500000000000003E-2</v>
      </c>
      <c r="L129">
        <v>4</v>
      </c>
      <c r="M129">
        <v>0.10256410256410256</v>
      </c>
    </row>
    <row r="130" spans="1:13" x14ac:dyDescent="0.25">
      <c r="A130" t="s">
        <v>56</v>
      </c>
      <c r="B130" t="s">
        <v>57</v>
      </c>
      <c r="C130" s="8">
        <v>41583</v>
      </c>
      <c r="E130">
        <v>400</v>
      </c>
      <c r="H130" s="8">
        <v>41653</v>
      </c>
      <c r="I130" t="s">
        <v>68</v>
      </c>
      <c r="J130" t="s">
        <v>77</v>
      </c>
      <c r="K130">
        <v>0.45750000000000002</v>
      </c>
      <c r="L130">
        <v>1</v>
      </c>
      <c r="M130">
        <v>5.4644808743169399E-3</v>
      </c>
    </row>
    <row r="131" spans="1:13" x14ac:dyDescent="0.25">
      <c r="A131" t="s">
        <v>56</v>
      </c>
      <c r="B131" t="s">
        <v>57</v>
      </c>
      <c r="C131" s="8">
        <v>41583</v>
      </c>
      <c r="E131">
        <v>400</v>
      </c>
      <c r="H131" s="8">
        <v>41653</v>
      </c>
      <c r="I131" t="s">
        <v>71</v>
      </c>
      <c r="J131" t="s">
        <v>77</v>
      </c>
      <c r="K131">
        <v>0.38250000000000001</v>
      </c>
      <c r="L131">
        <v>5</v>
      </c>
      <c r="M131">
        <v>3.2679738562091505E-2</v>
      </c>
    </row>
    <row r="132" spans="1:13" x14ac:dyDescent="0.25">
      <c r="A132" t="s">
        <v>56</v>
      </c>
      <c r="B132" t="s">
        <v>57</v>
      </c>
      <c r="C132" s="8">
        <v>41583</v>
      </c>
      <c r="E132">
        <v>400</v>
      </c>
      <c r="H132" s="8">
        <v>41653</v>
      </c>
      <c r="I132" t="s">
        <v>74</v>
      </c>
      <c r="J132" t="s">
        <v>77</v>
      </c>
      <c r="K132">
        <v>0.38250000000000001</v>
      </c>
      <c r="L132">
        <v>4</v>
      </c>
      <c r="M132">
        <v>2.6143790849673203E-2</v>
      </c>
    </row>
    <row r="133" spans="1:13" x14ac:dyDescent="0.25">
      <c r="A133" t="s">
        <v>56</v>
      </c>
      <c r="B133" t="s">
        <v>57</v>
      </c>
      <c r="C133" s="8">
        <v>41583</v>
      </c>
      <c r="E133">
        <v>400</v>
      </c>
      <c r="H133" s="8">
        <v>41653</v>
      </c>
      <c r="I133" t="s">
        <v>72</v>
      </c>
      <c r="J133" t="s">
        <v>77</v>
      </c>
      <c r="K133">
        <v>0.38250000000000001</v>
      </c>
      <c r="L133">
        <v>4</v>
      </c>
      <c r="M133">
        <v>2.6143790849673203E-2</v>
      </c>
    </row>
    <row r="134" spans="1:13" x14ac:dyDescent="0.25">
      <c r="A134" t="s">
        <v>56</v>
      </c>
      <c r="B134" t="s">
        <v>57</v>
      </c>
      <c r="C134" s="8">
        <v>41583</v>
      </c>
      <c r="E134">
        <v>400</v>
      </c>
      <c r="H134" s="8">
        <v>41653</v>
      </c>
      <c r="I134" t="s">
        <v>76</v>
      </c>
      <c r="J134" t="s">
        <v>77</v>
      </c>
      <c r="K134">
        <v>0.38250000000000001</v>
      </c>
      <c r="L134">
        <v>5</v>
      </c>
      <c r="M134">
        <v>3.2679738562091505E-2</v>
      </c>
    </row>
  </sheetData>
  <phoneticPr fontId="7" type="noConversion"/>
  <conditionalFormatting sqref="I14 K14:M14">
    <cfRule type="expression" dxfId="3" priority="4" stopIfTrue="1">
      <formula>MOD(ROW(),2)=0</formula>
    </cfRule>
  </conditionalFormatting>
  <conditionalFormatting sqref="I15:I16">
    <cfRule type="expression" dxfId="2" priority="3" stopIfTrue="1">
      <formula>MOD(ROW(),2)=0</formula>
    </cfRule>
  </conditionalFormatting>
  <conditionalFormatting sqref="K15:M16">
    <cfRule type="expression" dxfId="1" priority="2" stopIfTrue="1">
      <formula>MOD(ROW(),2)=0</formula>
    </cfRule>
  </conditionalFormatting>
  <conditionalFormatting sqref="K30:M33">
    <cfRule type="expression" dxfId="0" priority="1" stopIfTrue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4B8A-ADB6-4D08-8709-36904DC2F5AB}">
  <dimension ref="A1:M13"/>
  <sheetViews>
    <sheetView workbookViewId="0">
      <selection activeCell="F19" sqref="F19"/>
    </sheetView>
  </sheetViews>
  <sheetFormatPr defaultRowHeight="15" x14ac:dyDescent="0.25"/>
  <cols>
    <col min="1" max="1" width="11.85546875" style="14" bestFit="1" customWidth="1"/>
  </cols>
  <sheetData>
    <row r="1" spans="1:13" x14ac:dyDescent="0.25">
      <c r="A1" s="14" t="s">
        <v>6</v>
      </c>
      <c r="B1" t="s">
        <v>41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93</v>
      </c>
    </row>
    <row r="2" spans="1:13" x14ac:dyDescent="0.25">
      <c r="A2" s="14">
        <v>39573</v>
      </c>
      <c r="B2" t="s">
        <v>92</v>
      </c>
      <c r="C2">
        <v>0.09</v>
      </c>
      <c r="D2">
        <v>33.24</v>
      </c>
      <c r="E2">
        <v>9.3999999999999986</v>
      </c>
      <c r="F2">
        <v>0</v>
      </c>
      <c r="G2">
        <v>31.609999999999996</v>
      </c>
      <c r="H2">
        <v>3.28</v>
      </c>
      <c r="I2">
        <v>1.01</v>
      </c>
      <c r="J2">
        <v>4.93</v>
      </c>
      <c r="K2">
        <v>0</v>
      </c>
      <c r="L2">
        <v>267.39</v>
      </c>
      <c r="M2" t="s">
        <v>94</v>
      </c>
    </row>
    <row r="3" spans="1:13" x14ac:dyDescent="0.25">
      <c r="A3" s="14">
        <v>39608</v>
      </c>
      <c r="B3" t="s">
        <v>92</v>
      </c>
      <c r="C3">
        <v>0.28000000000000003</v>
      </c>
      <c r="D3">
        <v>56.26</v>
      </c>
      <c r="E3">
        <v>19.130000000000003</v>
      </c>
      <c r="F3">
        <v>0</v>
      </c>
      <c r="G3">
        <v>67.27</v>
      </c>
      <c r="H3">
        <v>5.12</v>
      </c>
      <c r="I3">
        <v>0.92</v>
      </c>
      <c r="J3">
        <v>25.509999999999998</v>
      </c>
      <c r="K3">
        <v>0</v>
      </c>
      <c r="L3">
        <v>3397.1499999999996</v>
      </c>
      <c r="M3" t="s">
        <v>94</v>
      </c>
    </row>
    <row r="4" spans="1:13" x14ac:dyDescent="0.25">
      <c r="A4" s="14">
        <v>39646</v>
      </c>
      <c r="B4" t="s">
        <v>92</v>
      </c>
      <c r="C4">
        <v>0</v>
      </c>
      <c r="D4">
        <v>18.350000000000001</v>
      </c>
      <c r="E4">
        <v>7.66</v>
      </c>
      <c r="F4">
        <v>0</v>
      </c>
      <c r="G4">
        <v>17.21</v>
      </c>
      <c r="H4">
        <v>0.74</v>
      </c>
      <c r="I4">
        <v>12.120000000000001</v>
      </c>
      <c r="J4">
        <v>8.14</v>
      </c>
      <c r="K4">
        <v>0</v>
      </c>
      <c r="L4">
        <v>242.47</v>
      </c>
      <c r="M4" t="s">
        <v>94</v>
      </c>
    </row>
    <row r="5" spans="1:13" x14ac:dyDescent="0.25">
      <c r="A5" s="14">
        <v>39680</v>
      </c>
      <c r="B5" t="s">
        <v>92</v>
      </c>
      <c r="C5">
        <v>0</v>
      </c>
      <c r="D5">
        <v>51.05</v>
      </c>
      <c r="E5">
        <v>1.88</v>
      </c>
      <c r="F5">
        <v>0</v>
      </c>
      <c r="G5">
        <v>372.24</v>
      </c>
      <c r="H5">
        <v>0.46</v>
      </c>
      <c r="I5">
        <v>3.7</v>
      </c>
      <c r="J5">
        <v>30.939999999999994</v>
      </c>
      <c r="K5">
        <v>0</v>
      </c>
      <c r="L5">
        <v>91.72999999999999</v>
      </c>
      <c r="M5" t="s">
        <v>94</v>
      </c>
    </row>
    <row r="6" spans="1:13" x14ac:dyDescent="0.25">
      <c r="A6" s="14">
        <v>39708</v>
      </c>
      <c r="B6" t="s">
        <v>92</v>
      </c>
      <c r="C6">
        <v>0</v>
      </c>
      <c r="D6">
        <v>31.470000000000002</v>
      </c>
      <c r="E6">
        <v>1.94</v>
      </c>
      <c r="F6">
        <v>0</v>
      </c>
      <c r="G6">
        <v>710.76</v>
      </c>
      <c r="H6">
        <v>3.02</v>
      </c>
      <c r="I6">
        <v>2.2999999999999998</v>
      </c>
      <c r="J6">
        <v>8.34</v>
      </c>
      <c r="K6">
        <v>0</v>
      </c>
      <c r="L6">
        <v>99.070000000000022</v>
      </c>
      <c r="M6" t="s">
        <v>94</v>
      </c>
    </row>
    <row r="7" spans="1:13" x14ac:dyDescent="0.25">
      <c r="A7" s="14">
        <v>39744</v>
      </c>
      <c r="B7" t="s">
        <v>92</v>
      </c>
      <c r="C7">
        <v>0.04</v>
      </c>
      <c r="D7">
        <v>21.880000000000003</v>
      </c>
      <c r="E7">
        <v>7.92</v>
      </c>
      <c r="F7">
        <v>0</v>
      </c>
      <c r="G7">
        <v>263.33000000000004</v>
      </c>
      <c r="H7">
        <v>6.08</v>
      </c>
      <c r="I7">
        <v>1.7200000000000002</v>
      </c>
      <c r="J7">
        <v>9.963000000000001</v>
      </c>
      <c r="K7">
        <v>0</v>
      </c>
      <c r="L7">
        <v>34.889999999999993</v>
      </c>
      <c r="M7" t="s">
        <v>94</v>
      </c>
    </row>
    <row r="8" spans="1:13" x14ac:dyDescent="0.25">
      <c r="A8" s="14">
        <v>39573</v>
      </c>
      <c r="B8" t="s">
        <v>92</v>
      </c>
      <c r="C8">
        <v>0</v>
      </c>
      <c r="D8">
        <v>33.24</v>
      </c>
      <c r="E8">
        <v>9.3999999999999986</v>
      </c>
      <c r="F8">
        <v>0</v>
      </c>
      <c r="G8">
        <v>31.319999999999997</v>
      </c>
      <c r="H8">
        <v>3.28</v>
      </c>
      <c r="I8">
        <v>1.01</v>
      </c>
      <c r="J8">
        <v>3.95</v>
      </c>
      <c r="K8">
        <v>0</v>
      </c>
      <c r="L8">
        <v>18.29</v>
      </c>
      <c r="M8" t="s">
        <v>95</v>
      </c>
    </row>
    <row r="9" spans="1:13" x14ac:dyDescent="0.25">
      <c r="A9" s="14">
        <v>39608</v>
      </c>
      <c r="B9" t="s">
        <v>92</v>
      </c>
      <c r="C9">
        <v>0</v>
      </c>
      <c r="D9">
        <v>29.950000000000003</v>
      </c>
      <c r="E9">
        <v>19.130000000000003</v>
      </c>
      <c r="F9">
        <v>0</v>
      </c>
      <c r="G9">
        <v>53.86999999999999</v>
      </c>
      <c r="H9">
        <v>5.12</v>
      </c>
      <c r="I9">
        <v>0.92</v>
      </c>
      <c r="J9">
        <v>23.759999999999998</v>
      </c>
      <c r="K9">
        <v>0</v>
      </c>
      <c r="L9">
        <v>26.2</v>
      </c>
      <c r="M9" t="s">
        <v>95</v>
      </c>
    </row>
    <row r="10" spans="1:13" x14ac:dyDescent="0.25">
      <c r="A10" s="14">
        <v>39646</v>
      </c>
      <c r="B10" t="s">
        <v>92</v>
      </c>
      <c r="C10">
        <v>0</v>
      </c>
      <c r="D10">
        <v>15.97</v>
      </c>
      <c r="E10">
        <v>7.66</v>
      </c>
      <c r="F10">
        <v>0</v>
      </c>
      <c r="G10">
        <v>16.559999999999999</v>
      </c>
      <c r="H10">
        <v>0.74</v>
      </c>
      <c r="I10">
        <v>12.120000000000001</v>
      </c>
      <c r="J10">
        <v>7.88</v>
      </c>
      <c r="K10">
        <v>0</v>
      </c>
      <c r="L10">
        <v>0</v>
      </c>
      <c r="M10" t="s">
        <v>95</v>
      </c>
    </row>
    <row r="11" spans="1:13" x14ac:dyDescent="0.25">
      <c r="A11" s="14">
        <v>39680</v>
      </c>
      <c r="B11" t="s">
        <v>92</v>
      </c>
      <c r="C11">
        <v>0</v>
      </c>
      <c r="D11">
        <v>39.909999999999997</v>
      </c>
      <c r="E11">
        <v>1.88</v>
      </c>
      <c r="F11">
        <v>0</v>
      </c>
      <c r="G11">
        <v>17.48</v>
      </c>
      <c r="H11">
        <v>0.46</v>
      </c>
      <c r="I11">
        <v>3.7</v>
      </c>
      <c r="J11">
        <v>29.659999999999997</v>
      </c>
      <c r="K11">
        <v>0</v>
      </c>
      <c r="L11">
        <v>12.84</v>
      </c>
      <c r="M11" t="s">
        <v>95</v>
      </c>
    </row>
    <row r="12" spans="1:13" x14ac:dyDescent="0.25">
      <c r="A12" s="14">
        <v>39708</v>
      </c>
      <c r="B12" t="s">
        <v>92</v>
      </c>
      <c r="C12">
        <v>0</v>
      </c>
      <c r="D12">
        <v>22.16</v>
      </c>
      <c r="E12">
        <v>1.94</v>
      </c>
      <c r="F12">
        <v>0</v>
      </c>
      <c r="G12">
        <v>14.2</v>
      </c>
      <c r="H12">
        <v>3.02</v>
      </c>
      <c r="I12">
        <v>2.2999999999999998</v>
      </c>
      <c r="J12">
        <v>7.3900000000000006</v>
      </c>
      <c r="K12">
        <v>0</v>
      </c>
      <c r="L12">
        <v>33.869999999999997</v>
      </c>
      <c r="M12" t="s">
        <v>95</v>
      </c>
    </row>
    <row r="13" spans="1:13" x14ac:dyDescent="0.25">
      <c r="A13" s="14">
        <v>39744</v>
      </c>
      <c r="B13" t="s">
        <v>92</v>
      </c>
      <c r="C13">
        <v>0</v>
      </c>
      <c r="D13">
        <v>5.85</v>
      </c>
      <c r="E13">
        <v>7.92</v>
      </c>
      <c r="F13">
        <v>0</v>
      </c>
      <c r="G13">
        <v>9.2000000000000011</v>
      </c>
      <c r="H13">
        <v>6.08</v>
      </c>
      <c r="I13">
        <v>1.7200000000000002</v>
      </c>
      <c r="J13">
        <v>8.89</v>
      </c>
      <c r="K13">
        <v>0</v>
      </c>
      <c r="L13">
        <v>0.74</v>
      </c>
      <c r="M13" t="s">
        <v>95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4014-7CB9-4581-9D0C-F0E8FB76591E}">
  <dimension ref="A1:N25"/>
  <sheetViews>
    <sheetView workbookViewId="0">
      <selection activeCell="N2" sqref="N2"/>
    </sheetView>
  </sheetViews>
  <sheetFormatPr defaultRowHeight="15" x14ac:dyDescent="0.25"/>
  <cols>
    <col min="1" max="1" width="9.85546875" bestFit="1" customWidth="1"/>
  </cols>
  <sheetData>
    <row r="1" spans="1:14" ht="75" x14ac:dyDescent="0.25">
      <c r="A1" t="s">
        <v>6</v>
      </c>
      <c r="B1" t="s">
        <v>41</v>
      </c>
      <c r="C1" t="s">
        <v>5</v>
      </c>
      <c r="D1" s="10" t="s">
        <v>82</v>
      </c>
      <c r="E1" s="10" t="s">
        <v>83</v>
      </c>
      <c r="F1" s="10" t="s">
        <v>84</v>
      </c>
      <c r="G1" s="10" t="s">
        <v>85</v>
      </c>
      <c r="H1" s="22" t="s">
        <v>86</v>
      </c>
      <c r="I1" s="10" t="s">
        <v>87</v>
      </c>
      <c r="J1" s="23" t="s">
        <v>88</v>
      </c>
      <c r="K1" s="24" t="s">
        <v>89</v>
      </c>
      <c r="L1" s="10" t="s">
        <v>90</v>
      </c>
      <c r="M1" s="10" t="s">
        <v>91</v>
      </c>
      <c r="N1" s="10" t="s">
        <v>93</v>
      </c>
    </row>
    <row r="2" spans="1:14" x14ac:dyDescent="0.25">
      <c r="A2" s="8">
        <v>39937</v>
      </c>
      <c r="B2" s="9" t="s">
        <v>92</v>
      </c>
      <c r="C2" s="9" t="s">
        <v>96</v>
      </c>
      <c r="D2" s="26">
        <v>0.02</v>
      </c>
      <c r="E2" s="26">
        <v>39.11</v>
      </c>
      <c r="F2" s="26">
        <v>4.3</v>
      </c>
      <c r="G2" s="26">
        <v>0</v>
      </c>
      <c r="H2" s="26">
        <v>280.86</v>
      </c>
      <c r="I2" s="26">
        <v>2.5</v>
      </c>
      <c r="J2" s="26">
        <v>0</v>
      </c>
      <c r="K2" s="26">
        <v>9.6900000000000013</v>
      </c>
      <c r="L2" s="26">
        <v>0</v>
      </c>
      <c r="M2" s="26">
        <v>281.77999999999997</v>
      </c>
      <c r="N2" t="s">
        <v>94</v>
      </c>
    </row>
    <row r="3" spans="1:14" x14ac:dyDescent="0.25">
      <c r="A3" s="8">
        <v>39972</v>
      </c>
      <c r="B3" s="9" t="s">
        <v>92</v>
      </c>
      <c r="C3" s="9" t="s">
        <v>96</v>
      </c>
      <c r="D3" s="26">
        <v>0</v>
      </c>
      <c r="E3" s="26">
        <v>12.280000000000001</v>
      </c>
      <c r="F3" s="26">
        <v>8.57</v>
      </c>
      <c r="G3" s="26">
        <v>0</v>
      </c>
      <c r="H3" s="26">
        <v>385.38</v>
      </c>
      <c r="I3" s="26">
        <v>20.48</v>
      </c>
      <c r="J3" s="26">
        <v>1.1499999999999999</v>
      </c>
      <c r="K3" s="26">
        <v>14.023999999999999</v>
      </c>
      <c r="L3" s="26">
        <v>0</v>
      </c>
      <c r="M3" s="26">
        <v>441.78999999999996</v>
      </c>
      <c r="N3" t="s">
        <v>94</v>
      </c>
    </row>
    <row r="4" spans="1:14" x14ac:dyDescent="0.25">
      <c r="A4" s="8">
        <v>40000</v>
      </c>
      <c r="B4" s="9" t="s">
        <v>92</v>
      </c>
      <c r="C4" s="9" t="s">
        <v>96</v>
      </c>
      <c r="D4" s="26">
        <v>0.21</v>
      </c>
      <c r="E4" s="26">
        <v>35.36</v>
      </c>
      <c r="F4" s="26">
        <v>0.25</v>
      </c>
      <c r="G4" s="26">
        <v>0</v>
      </c>
      <c r="H4" s="26">
        <v>343.4</v>
      </c>
      <c r="I4" s="26">
        <v>0.09</v>
      </c>
      <c r="J4" s="26">
        <v>2.02</v>
      </c>
      <c r="K4" s="26">
        <v>29.590000000000003</v>
      </c>
      <c r="L4" s="26">
        <v>0</v>
      </c>
      <c r="M4" s="26">
        <v>294.90000000000003</v>
      </c>
      <c r="N4" t="s">
        <v>94</v>
      </c>
    </row>
    <row r="5" spans="1:14" x14ac:dyDescent="0.25">
      <c r="A5" s="8">
        <v>40042</v>
      </c>
      <c r="B5" s="9" t="s">
        <v>92</v>
      </c>
      <c r="C5" s="9" t="s">
        <v>96</v>
      </c>
      <c r="D5" s="26">
        <v>0.68100000000000005</v>
      </c>
      <c r="E5" s="26">
        <v>12.7</v>
      </c>
      <c r="F5" s="26">
        <v>0</v>
      </c>
      <c r="G5" s="26">
        <v>0</v>
      </c>
      <c r="H5" s="26">
        <v>32.43</v>
      </c>
      <c r="I5" s="26">
        <v>0.64</v>
      </c>
      <c r="J5" s="26">
        <v>2.1</v>
      </c>
      <c r="K5" s="26">
        <v>11.67</v>
      </c>
      <c r="L5" s="26">
        <v>0</v>
      </c>
      <c r="M5" s="26">
        <v>12.229999999999999</v>
      </c>
      <c r="N5" t="s">
        <v>94</v>
      </c>
    </row>
    <row r="6" spans="1:14" x14ac:dyDescent="0.25">
      <c r="A6" s="8">
        <v>40077</v>
      </c>
      <c r="B6" s="9" t="s">
        <v>92</v>
      </c>
      <c r="C6" s="9" t="s">
        <v>96</v>
      </c>
      <c r="D6" s="26">
        <v>4.3299999999999992</v>
      </c>
      <c r="E6" s="26">
        <v>6.8999999999999995</v>
      </c>
      <c r="F6" s="26">
        <v>2.6500000000000004</v>
      </c>
      <c r="G6" s="26">
        <v>0</v>
      </c>
      <c r="H6" s="26">
        <v>22.659999999999997</v>
      </c>
      <c r="I6" s="26">
        <v>3.46</v>
      </c>
      <c r="J6" s="26">
        <v>4.79</v>
      </c>
      <c r="K6" s="26">
        <v>20.23</v>
      </c>
      <c r="L6" s="26">
        <v>0</v>
      </c>
      <c r="M6" s="26">
        <v>1.7749999999999999</v>
      </c>
      <c r="N6" t="s">
        <v>94</v>
      </c>
    </row>
    <row r="7" spans="1:14" x14ac:dyDescent="0.25">
      <c r="A7" s="8">
        <v>40105</v>
      </c>
      <c r="B7" s="9" t="s">
        <v>92</v>
      </c>
      <c r="C7" s="9" t="s">
        <v>96</v>
      </c>
      <c r="D7" s="26">
        <v>4.84</v>
      </c>
      <c r="E7" s="26">
        <v>8.19</v>
      </c>
      <c r="F7" s="26">
        <v>12.65</v>
      </c>
      <c r="G7" s="26">
        <v>0</v>
      </c>
      <c r="H7" s="26">
        <v>22.03</v>
      </c>
      <c r="I7" s="26">
        <v>0.88</v>
      </c>
      <c r="J7" s="26">
        <v>12.790000000000001</v>
      </c>
      <c r="K7" s="26">
        <v>28.150000000000002</v>
      </c>
      <c r="L7" s="26">
        <v>0</v>
      </c>
      <c r="M7" s="26">
        <v>1.81</v>
      </c>
      <c r="N7" t="s">
        <v>94</v>
      </c>
    </row>
    <row r="8" spans="1:14" x14ac:dyDescent="0.25">
      <c r="A8" s="8">
        <v>39937</v>
      </c>
      <c r="B8" s="9" t="s">
        <v>92</v>
      </c>
      <c r="C8" s="9">
        <v>25</v>
      </c>
      <c r="D8" s="26">
        <v>0.02</v>
      </c>
      <c r="E8" s="26">
        <v>17.07</v>
      </c>
      <c r="F8" s="26">
        <v>8.5300000000000011</v>
      </c>
      <c r="G8" s="26">
        <v>0</v>
      </c>
      <c r="H8" s="26">
        <v>3.9600000000000004</v>
      </c>
      <c r="I8" s="26">
        <v>5.19</v>
      </c>
      <c r="J8" s="26">
        <v>0</v>
      </c>
      <c r="K8" s="26">
        <v>10.379999999999999</v>
      </c>
      <c r="L8" s="26">
        <v>0</v>
      </c>
      <c r="M8" s="26">
        <v>63.18</v>
      </c>
      <c r="N8" t="s">
        <v>94</v>
      </c>
    </row>
    <row r="9" spans="1:14" x14ac:dyDescent="0.25">
      <c r="A9" s="8">
        <v>39972</v>
      </c>
      <c r="B9" s="9" t="s">
        <v>92</v>
      </c>
      <c r="C9" s="9">
        <v>25</v>
      </c>
      <c r="D9" s="26">
        <v>0</v>
      </c>
      <c r="E9" s="26">
        <v>19.390000000000004</v>
      </c>
      <c r="F9" s="26">
        <v>8.58</v>
      </c>
      <c r="G9" s="26">
        <v>0</v>
      </c>
      <c r="H9" s="26">
        <v>12.96</v>
      </c>
      <c r="I9" s="26">
        <v>4.88</v>
      </c>
      <c r="J9" s="26">
        <v>0</v>
      </c>
      <c r="K9" s="26">
        <v>2.464</v>
      </c>
      <c r="L9" s="26">
        <v>0</v>
      </c>
      <c r="M9" s="26">
        <v>98.45</v>
      </c>
      <c r="N9" t="s">
        <v>94</v>
      </c>
    </row>
    <row r="10" spans="1:14" x14ac:dyDescent="0.25">
      <c r="A10" s="8">
        <v>40000</v>
      </c>
      <c r="B10" s="9" t="s">
        <v>92</v>
      </c>
      <c r="C10" s="9">
        <v>25</v>
      </c>
      <c r="D10" s="26">
        <v>0</v>
      </c>
      <c r="E10" s="26">
        <v>9.64</v>
      </c>
      <c r="F10" s="26">
        <v>2.0300000000000002</v>
      </c>
      <c r="G10" s="26">
        <v>0</v>
      </c>
      <c r="H10" s="26">
        <v>11.95</v>
      </c>
      <c r="I10" s="26">
        <v>2.15</v>
      </c>
      <c r="J10" s="26">
        <v>0</v>
      </c>
      <c r="K10" s="26">
        <v>1.01</v>
      </c>
      <c r="L10" s="26">
        <v>0</v>
      </c>
      <c r="M10" s="26">
        <v>164.79999999999998</v>
      </c>
      <c r="N10" t="s">
        <v>94</v>
      </c>
    </row>
    <row r="11" spans="1:14" x14ac:dyDescent="0.25">
      <c r="A11" s="8">
        <v>40042</v>
      </c>
      <c r="B11" s="9" t="s">
        <v>92</v>
      </c>
      <c r="C11" s="9">
        <v>25</v>
      </c>
      <c r="D11" s="26">
        <v>0.22999999999999998</v>
      </c>
      <c r="E11" s="26">
        <v>4</v>
      </c>
      <c r="F11" s="26">
        <v>13.91</v>
      </c>
      <c r="G11" s="26">
        <v>0</v>
      </c>
      <c r="H11" s="26">
        <v>10.31</v>
      </c>
      <c r="I11" s="26">
        <v>1.03</v>
      </c>
      <c r="J11" s="26">
        <v>0</v>
      </c>
      <c r="K11" s="26">
        <v>6.06</v>
      </c>
      <c r="L11" s="26">
        <v>0</v>
      </c>
      <c r="M11" s="26">
        <v>43.269999999999996</v>
      </c>
      <c r="N11" t="s">
        <v>94</v>
      </c>
    </row>
    <row r="12" spans="1:14" x14ac:dyDescent="0.25">
      <c r="A12" s="8">
        <v>40077</v>
      </c>
      <c r="B12" s="9" t="s">
        <v>92</v>
      </c>
      <c r="C12" s="9">
        <v>25</v>
      </c>
      <c r="D12" s="26">
        <v>1.9200000000000002</v>
      </c>
      <c r="E12" s="26">
        <v>6.92</v>
      </c>
      <c r="F12" s="26">
        <v>5.7900000000000009</v>
      </c>
      <c r="G12" s="26">
        <v>0</v>
      </c>
      <c r="H12" s="26">
        <v>14.149999999999999</v>
      </c>
      <c r="I12" s="26">
        <v>5.65</v>
      </c>
      <c r="J12" s="26">
        <v>0</v>
      </c>
      <c r="K12" s="26">
        <v>17.010000000000002</v>
      </c>
      <c r="L12" s="26">
        <v>0</v>
      </c>
      <c r="M12" s="26">
        <v>128.62</v>
      </c>
      <c r="N12" t="s">
        <v>94</v>
      </c>
    </row>
    <row r="13" spans="1:14" x14ac:dyDescent="0.25">
      <c r="A13" s="8">
        <v>40105</v>
      </c>
      <c r="B13" s="9" t="s">
        <v>92</v>
      </c>
      <c r="C13" s="9">
        <v>25</v>
      </c>
      <c r="D13" s="26">
        <v>4.84</v>
      </c>
      <c r="E13" s="26">
        <v>8.19</v>
      </c>
      <c r="F13" s="26">
        <v>12.65</v>
      </c>
      <c r="G13" s="26">
        <v>0</v>
      </c>
      <c r="H13" s="26">
        <v>22.03</v>
      </c>
      <c r="I13" s="26">
        <v>0.88</v>
      </c>
      <c r="J13" s="26">
        <v>12.790000000000001</v>
      </c>
      <c r="K13" s="26">
        <v>28.150000000000002</v>
      </c>
      <c r="L13" s="26">
        <v>0</v>
      </c>
      <c r="M13" s="26">
        <v>1.81</v>
      </c>
      <c r="N13" t="s">
        <v>94</v>
      </c>
    </row>
    <row r="14" spans="1:14" x14ac:dyDescent="0.25">
      <c r="A14" s="8">
        <v>39937</v>
      </c>
      <c r="B14" s="9" t="s">
        <v>92</v>
      </c>
      <c r="C14" s="9" t="s">
        <v>96</v>
      </c>
      <c r="D14" s="26">
        <v>0.02</v>
      </c>
      <c r="E14" s="26">
        <v>18.05</v>
      </c>
      <c r="F14" s="26">
        <v>4.3</v>
      </c>
      <c r="G14" s="26">
        <v>0</v>
      </c>
      <c r="H14" s="26">
        <v>42.4</v>
      </c>
      <c r="I14" s="26">
        <v>2.5</v>
      </c>
      <c r="J14" s="26">
        <v>0</v>
      </c>
      <c r="K14" s="26">
        <v>6.07</v>
      </c>
      <c r="L14" s="26">
        <v>0</v>
      </c>
      <c r="M14" s="26">
        <v>31.2</v>
      </c>
      <c r="N14" t="s">
        <v>95</v>
      </c>
    </row>
    <row r="15" spans="1:14" x14ac:dyDescent="0.25">
      <c r="A15" s="8">
        <v>39972</v>
      </c>
      <c r="B15" s="9" t="s">
        <v>92</v>
      </c>
      <c r="C15" s="9" t="s">
        <v>96</v>
      </c>
      <c r="D15" s="26">
        <v>0</v>
      </c>
      <c r="E15" s="26">
        <v>11.11</v>
      </c>
      <c r="F15" s="26">
        <v>8.57</v>
      </c>
      <c r="G15" s="26">
        <v>0</v>
      </c>
      <c r="H15" s="26">
        <v>84.659999999999982</v>
      </c>
      <c r="I15" s="26">
        <v>20.48</v>
      </c>
      <c r="J15" s="26">
        <v>1.1499999999999999</v>
      </c>
      <c r="K15" s="26">
        <v>11.049999999999999</v>
      </c>
      <c r="L15" s="26">
        <v>0</v>
      </c>
      <c r="M15" s="26">
        <v>20.54</v>
      </c>
      <c r="N15" t="s">
        <v>95</v>
      </c>
    </row>
    <row r="16" spans="1:14" x14ac:dyDescent="0.25">
      <c r="A16" s="8">
        <v>40000</v>
      </c>
      <c r="B16" s="9" t="s">
        <v>92</v>
      </c>
      <c r="C16" s="9" t="s">
        <v>96</v>
      </c>
      <c r="D16" s="26">
        <v>0</v>
      </c>
      <c r="E16" s="26">
        <v>6.54</v>
      </c>
      <c r="F16" s="26">
        <v>0.25</v>
      </c>
      <c r="G16" s="26">
        <v>0</v>
      </c>
      <c r="H16" s="26">
        <v>28.43</v>
      </c>
      <c r="I16" s="26">
        <v>0.09</v>
      </c>
      <c r="J16" s="26">
        <v>2.02</v>
      </c>
      <c r="K16" s="26">
        <v>28.410000000000004</v>
      </c>
      <c r="L16" s="26">
        <v>0</v>
      </c>
      <c r="M16" s="26">
        <v>42.500000000000007</v>
      </c>
      <c r="N16" t="s">
        <v>95</v>
      </c>
    </row>
    <row r="17" spans="1:14" x14ac:dyDescent="0.25">
      <c r="A17" s="8">
        <v>40042</v>
      </c>
      <c r="B17" s="9" t="s">
        <v>92</v>
      </c>
      <c r="C17" s="9" t="s">
        <v>96</v>
      </c>
      <c r="D17" s="26">
        <v>0</v>
      </c>
      <c r="E17" s="26">
        <v>12.7</v>
      </c>
      <c r="F17" s="26">
        <v>0</v>
      </c>
      <c r="G17" s="26">
        <v>0</v>
      </c>
      <c r="H17" s="26">
        <v>14.270000000000001</v>
      </c>
      <c r="I17" s="26">
        <v>0.64</v>
      </c>
      <c r="J17" s="26">
        <v>2.1</v>
      </c>
      <c r="K17" s="26">
        <v>11.2</v>
      </c>
      <c r="L17" s="26">
        <v>0</v>
      </c>
      <c r="M17" s="26">
        <v>1.3900000000000001</v>
      </c>
      <c r="N17" t="s">
        <v>95</v>
      </c>
    </row>
    <row r="18" spans="1:14" x14ac:dyDescent="0.25">
      <c r="A18" s="8">
        <v>40077</v>
      </c>
      <c r="B18" s="9" t="s">
        <v>92</v>
      </c>
      <c r="C18" s="9" t="s">
        <v>96</v>
      </c>
      <c r="D18" s="26">
        <v>0</v>
      </c>
      <c r="E18" s="26">
        <v>3.92</v>
      </c>
      <c r="F18" s="26">
        <v>2.6500000000000004</v>
      </c>
      <c r="G18" s="26">
        <v>0</v>
      </c>
      <c r="H18" s="26">
        <v>21.679999999999996</v>
      </c>
      <c r="I18" s="26">
        <v>3.46</v>
      </c>
      <c r="J18" s="26">
        <v>4.79</v>
      </c>
      <c r="K18" s="26">
        <v>18.64</v>
      </c>
      <c r="L18" s="26">
        <v>0</v>
      </c>
      <c r="M18" s="26">
        <v>1.17</v>
      </c>
      <c r="N18" t="s">
        <v>95</v>
      </c>
    </row>
    <row r="19" spans="1:14" x14ac:dyDescent="0.25">
      <c r="A19" s="8">
        <v>40105</v>
      </c>
      <c r="B19" s="9" t="s">
        <v>92</v>
      </c>
      <c r="C19" s="9" t="s">
        <v>96</v>
      </c>
      <c r="D19" s="26">
        <v>0</v>
      </c>
      <c r="E19" s="26">
        <v>4.6099999999999994</v>
      </c>
      <c r="F19" s="26">
        <v>12.65</v>
      </c>
      <c r="G19" s="26">
        <v>0</v>
      </c>
      <c r="H19" s="26">
        <v>10.27</v>
      </c>
      <c r="I19" s="26">
        <v>0.88</v>
      </c>
      <c r="J19" s="26">
        <v>12.790000000000001</v>
      </c>
      <c r="K19" s="26">
        <v>24.4</v>
      </c>
      <c r="L19" s="26">
        <v>0</v>
      </c>
      <c r="M19" s="26">
        <v>0.39</v>
      </c>
      <c r="N19" t="s">
        <v>95</v>
      </c>
    </row>
    <row r="20" spans="1:14" x14ac:dyDescent="0.25">
      <c r="A20" s="8">
        <v>39937</v>
      </c>
      <c r="B20" s="9" t="s">
        <v>92</v>
      </c>
      <c r="C20" s="9">
        <v>25</v>
      </c>
      <c r="D20" s="26">
        <v>0</v>
      </c>
      <c r="E20" s="26">
        <v>13.489999999999998</v>
      </c>
      <c r="F20" s="26">
        <v>8.5300000000000011</v>
      </c>
      <c r="G20" s="26">
        <v>0</v>
      </c>
      <c r="H20" s="26">
        <v>3.6900000000000004</v>
      </c>
      <c r="I20" s="26">
        <v>5.19</v>
      </c>
      <c r="J20" s="26">
        <v>0</v>
      </c>
      <c r="K20" s="26">
        <v>9.7899999999999991</v>
      </c>
      <c r="L20" s="26">
        <v>0</v>
      </c>
      <c r="M20" s="26">
        <v>4</v>
      </c>
      <c r="N20" t="s">
        <v>95</v>
      </c>
    </row>
    <row r="21" spans="1:14" x14ac:dyDescent="0.25">
      <c r="A21" s="8">
        <v>39972</v>
      </c>
      <c r="B21" s="9" t="s">
        <v>92</v>
      </c>
      <c r="C21" s="9">
        <v>25</v>
      </c>
      <c r="D21" s="26">
        <v>0</v>
      </c>
      <c r="E21" s="26">
        <v>16.8</v>
      </c>
      <c r="F21" s="26">
        <v>8.58</v>
      </c>
      <c r="G21" s="26">
        <v>0</v>
      </c>
      <c r="H21" s="26">
        <v>12.73</v>
      </c>
      <c r="I21" s="26">
        <v>4.88</v>
      </c>
      <c r="J21" s="26">
        <v>0</v>
      </c>
      <c r="K21" s="26">
        <v>2.4300000000000002</v>
      </c>
      <c r="L21" s="26">
        <v>0</v>
      </c>
      <c r="M21" s="26">
        <v>8.66</v>
      </c>
      <c r="N21" t="s">
        <v>95</v>
      </c>
    </row>
    <row r="22" spans="1:14" x14ac:dyDescent="0.25">
      <c r="A22" s="8">
        <v>40000</v>
      </c>
      <c r="B22" s="9" t="s">
        <v>92</v>
      </c>
      <c r="C22" s="9">
        <v>25</v>
      </c>
      <c r="D22" s="26">
        <v>0</v>
      </c>
      <c r="E22" s="26">
        <v>2.0100000000000002</v>
      </c>
      <c r="F22" s="26">
        <v>2.0300000000000002</v>
      </c>
      <c r="G22" s="26">
        <v>0</v>
      </c>
      <c r="H22" s="26">
        <v>5.73</v>
      </c>
      <c r="I22" s="26">
        <v>2.15</v>
      </c>
      <c r="J22" s="26">
        <v>0</v>
      </c>
      <c r="K22" s="26">
        <v>1.01</v>
      </c>
      <c r="L22" s="26">
        <v>0</v>
      </c>
      <c r="M22" s="26">
        <v>95.84</v>
      </c>
      <c r="N22" t="s">
        <v>95</v>
      </c>
    </row>
    <row r="23" spans="1:14" x14ac:dyDescent="0.25">
      <c r="A23" s="8">
        <v>40042</v>
      </c>
      <c r="B23" s="9" t="s">
        <v>92</v>
      </c>
      <c r="C23" s="9">
        <v>25</v>
      </c>
      <c r="D23" s="26">
        <v>0</v>
      </c>
      <c r="E23" s="26">
        <v>1.45</v>
      </c>
      <c r="F23" s="26">
        <v>13.91</v>
      </c>
      <c r="G23" s="26">
        <v>0</v>
      </c>
      <c r="H23" s="26">
        <v>7.75</v>
      </c>
      <c r="I23" s="26">
        <v>1.03</v>
      </c>
      <c r="J23" s="26">
        <v>0</v>
      </c>
      <c r="K23" s="26">
        <v>5.9399999999999995</v>
      </c>
      <c r="L23" s="26">
        <v>0</v>
      </c>
      <c r="M23" s="26">
        <v>9.3000000000000007</v>
      </c>
      <c r="N23" t="s">
        <v>95</v>
      </c>
    </row>
    <row r="24" spans="1:14" x14ac:dyDescent="0.25">
      <c r="A24" s="8">
        <v>40077</v>
      </c>
      <c r="B24" s="9" t="s">
        <v>92</v>
      </c>
      <c r="C24" s="9">
        <v>25</v>
      </c>
      <c r="D24" s="26">
        <v>0</v>
      </c>
      <c r="E24" s="26">
        <v>3.74</v>
      </c>
      <c r="F24" s="26">
        <v>5.7900000000000009</v>
      </c>
      <c r="G24" s="26">
        <v>0</v>
      </c>
      <c r="H24" s="26">
        <v>9.6499999999999986</v>
      </c>
      <c r="I24" s="26">
        <v>5.65</v>
      </c>
      <c r="J24" s="26">
        <v>0.22</v>
      </c>
      <c r="K24" s="26">
        <v>16.5</v>
      </c>
      <c r="L24" s="26">
        <v>0</v>
      </c>
      <c r="M24" s="26">
        <v>30.76</v>
      </c>
      <c r="N24" t="s">
        <v>95</v>
      </c>
    </row>
    <row r="25" spans="1:14" x14ac:dyDescent="0.25">
      <c r="A25" s="8">
        <v>40105</v>
      </c>
      <c r="B25" s="9" t="s">
        <v>92</v>
      </c>
      <c r="C25" s="9">
        <v>25</v>
      </c>
      <c r="D25" s="26">
        <v>0</v>
      </c>
      <c r="E25" s="26">
        <v>2.91</v>
      </c>
      <c r="F25" s="26">
        <v>10.719999999999999</v>
      </c>
      <c r="G25" s="26">
        <v>0</v>
      </c>
      <c r="H25" s="26">
        <v>7.99</v>
      </c>
      <c r="I25" s="26">
        <v>0.5</v>
      </c>
      <c r="J25" s="26">
        <v>0.09</v>
      </c>
      <c r="K25" s="26">
        <v>3.4000000000000004</v>
      </c>
      <c r="L25" s="26">
        <v>0</v>
      </c>
      <c r="M25" s="26">
        <v>31.73</v>
      </c>
      <c r="N25" t="s">
        <v>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D3AD-CAB7-499D-9DC7-AB0E3FE2A15A}">
  <dimension ref="A1:N9"/>
  <sheetViews>
    <sheetView workbookViewId="0">
      <selection activeCell="L14" sqref="L14"/>
    </sheetView>
  </sheetViews>
  <sheetFormatPr defaultRowHeight="15" x14ac:dyDescent="0.25"/>
  <cols>
    <col min="1" max="1" width="11.7109375" style="14" bestFit="1" customWidth="1"/>
  </cols>
  <sheetData>
    <row r="1" spans="1:14" ht="75" x14ac:dyDescent="0.25">
      <c r="A1" s="14" t="s">
        <v>6</v>
      </c>
      <c r="B1" t="s">
        <v>41</v>
      </c>
      <c r="C1" t="s">
        <v>5</v>
      </c>
      <c r="D1" s="10" t="s">
        <v>82</v>
      </c>
      <c r="E1" s="10" t="s">
        <v>83</v>
      </c>
      <c r="F1" s="27" t="s">
        <v>84</v>
      </c>
      <c r="G1" s="10" t="s">
        <v>85</v>
      </c>
      <c r="H1" s="22" t="s">
        <v>86</v>
      </c>
      <c r="I1" s="10" t="s">
        <v>87</v>
      </c>
      <c r="J1" s="23" t="s">
        <v>88</v>
      </c>
      <c r="K1" s="24" t="s">
        <v>89</v>
      </c>
      <c r="L1" s="10" t="s">
        <v>90</v>
      </c>
      <c r="M1" s="10" t="s">
        <v>91</v>
      </c>
      <c r="N1" s="10" t="s">
        <v>93</v>
      </c>
    </row>
    <row r="2" spans="1:14" x14ac:dyDescent="0.25">
      <c r="A2" s="14">
        <v>40290</v>
      </c>
      <c r="B2" s="9" t="s">
        <v>92</v>
      </c>
      <c r="C2" s="9" t="s">
        <v>96</v>
      </c>
      <c r="D2" s="26">
        <v>0</v>
      </c>
      <c r="E2" s="26">
        <v>9.59</v>
      </c>
      <c r="F2" s="26">
        <v>2.31</v>
      </c>
      <c r="G2" s="26">
        <v>0</v>
      </c>
      <c r="H2" s="26">
        <v>41.75</v>
      </c>
      <c r="I2" s="26">
        <v>1.78</v>
      </c>
      <c r="J2" s="26">
        <v>0</v>
      </c>
      <c r="K2" s="26">
        <v>5.8699999999999992</v>
      </c>
      <c r="L2" s="26">
        <v>0</v>
      </c>
      <c r="M2" s="26">
        <v>98.67</v>
      </c>
      <c r="N2" t="s">
        <v>94</v>
      </c>
    </row>
    <row r="3" spans="1:14" x14ac:dyDescent="0.25">
      <c r="A3" s="14">
        <v>40336</v>
      </c>
      <c r="B3" s="9" t="s">
        <v>92</v>
      </c>
      <c r="C3" s="9" t="s">
        <v>96</v>
      </c>
      <c r="D3" s="26">
        <v>0.09</v>
      </c>
      <c r="E3" s="26">
        <v>30.379999999999995</v>
      </c>
      <c r="F3" s="26">
        <v>8.83</v>
      </c>
      <c r="G3" s="26">
        <v>0</v>
      </c>
      <c r="H3" s="26">
        <v>72.86999999999999</v>
      </c>
      <c r="I3" s="26">
        <v>6.3</v>
      </c>
      <c r="J3" s="26">
        <v>4.8099999999999996</v>
      </c>
      <c r="K3" s="26">
        <v>4.09</v>
      </c>
      <c r="L3" s="26">
        <v>0</v>
      </c>
      <c r="M3" s="26">
        <v>579.96999999999991</v>
      </c>
      <c r="N3" t="s">
        <v>94</v>
      </c>
    </row>
    <row r="4" spans="1:14" x14ac:dyDescent="0.25">
      <c r="A4" s="14">
        <v>40385</v>
      </c>
      <c r="B4" s="9" t="s">
        <v>92</v>
      </c>
      <c r="C4" s="9" t="s">
        <v>96</v>
      </c>
      <c r="D4" s="26">
        <v>0.28999999999999998</v>
      </c>
      <c r="E4" s="26">
        <v>41.14</v>
      </c>
      <c r="F4" s="26">
        <v>1.27</v>
      </c>
      <c r="G4" s="26">
        <v>0</v>
      </c>
      <c r="H4" s="26">
        <v>89.15</v>
      </c>
      <c r="I4" s="26">
        <v>0.3</v>
      </c>
      <c r="J4" s="26">
        <v>2.87</v>
      </c>
      <c r="K4" s="26">
        <v>16.177000000000003</v>
      </c>
      <c r="L4" s="26">
        <v>0</v>
      </c>
      <c r="M4" s="26">
        <v>73.67</v>
      </c>
      <c r="N4" t="s">
        <v>94</v>
      </c>
    </row>
    <row r="5" spans="1:14" x14ac:dyDescent="0.25">
      <c r="A5" s="14">
        <v>40448</v>
      </c>
      <c r="B5" s="9" t="s">
        <v>92</v>
      </c>
      <c r="C5" s="9" t="s">
        <v>96</v>
      </c>
      <c r="D5" s="26">
        <v>3.91</v>
      </c>
      <c r="E5" s="26">
        <v>66.78</v>
      </c>
      <c r="F5" s="26">
        <v>3.89</v>
      </c>
      <c r="G5" s="26">
        <v>0</v>
      </c>
      <c r="H5" s="26">
        <v>50.789999999999992</v>
      </c>
      <c r="I5" s="26">
        <v>0.49</v>
      </c>
      <c r="J5" s="26">
        <v>3.18</v>
      </c>
      <c r="K5" s="26">
        <v>23.250000000000004</v>
      </c>
      <c r="L5" s="26">
        <v>0</v>
      </c>
      <c r="M5" s="26">
        <v>19.010000000000002</v>
      </c>
      <c r="N5" t="s">
        <v>94</v>
      </c>
    </row>
    <row r="6" spans="1:14" x14ac:dyDescent="0.25">
      <c r="A6" s="14">
        <v>40290</v>
      </c>
      <c r="B6" t="s">
        <v>92</v>
      </c>
      <c r="C6" t="s">
        <v>96</v>
      </c>
      <c r="D6">
        <v>0</v>
      </c>
      <c r="E6">
        <v>9.59</v>
      </c>
      <c r="F6">
        <v>2.31</v>
      </c>
      <c r="G6">
        <v>0</v>
      </c>
      <c r="H6">
        <v>41.54</v>
      </c>
      <c r="I6">
        <v>1.78</v>
      </c>
      <c r="J6">
        <v>0</v>
      </c>
      <c r="K6">
        <v>5.8699999999999992</v>
      </c>
      <c r="L6">
        <v>0</v>
      </c>
      <c r="M6">
        <v>11.76</v>
      </c>
      <c r="N6" t="s">
        <v>95</v>
      </c>
    </row>
    <row r="7" spans="1:14" x14ac:dyDescent="0.25">
      <c r="A7" s="14">
        <v>40336</v>
      </c>
      <c r="B7" t="s">
        <v>92</v>
      </c>
      <c r="C7" t="s">
        <v>96</v>
      </c>
      <c r="D7">
        <v>0</v>
      </c>
      <c r="E7">
        <v>26.799999999999997</v>
      </c>
      <c r="F7">
        <v>8.83</v>
      </c>
      <c r="G7">
        <v>0</v>
      </c>
      <c r="H7">
        <v>67.19</v>
      </c>
      <c r="I7">
        <v>6.3</v>
      </c>
      <c r="J7">
        <v>4.8099999999999996</v>
      </c>
      <c r="K7">
        <v>2.38</v>
      </c>
      <c r="L7">
        <v>0</v>
      </c>
      <c r="M7">
        <v>45.63</v>
      </c>
      <c r="N7" t="s">
        <v>95</v>
      </c>
    </row>
    <row r="8" spans="1:14" x14ac:dyDescent="0.25">
      <c r="A8" s="14">
        <v>40385</v>
      </c>
      <c r="B8" t="s">
        <v>92</v>
      </c>
      <c r="C8" t="s">
        <v>96</v>
      </c>
      <c r="D8">
        <v>0</v>
      </c>
      <c r="E8">
        <v>41.14</v>
      </c>
      <c r="F8">
        <v>1.27</v>
      </c>
      <c r="G8">
        <v>0</v>
      </c>
      <c r="H8">
        <v>86.02000000000001</v>
      </c>
      <c r="I8">
        <v>0.3</v>
      </c>
      <c r="J8">
        <v>2.87</v>
      </c>
      <c r="K8">
        <v>12.797000000000001</v>
      </c>
      <c r="L8">
        <v>0</v>
      </c>
      <c r="M8">
        <v>9.58</v>
      </c>
      <c r="N8" t="s">
        <v>95</v>
      </c>
    </row>
    <row r="9" spans="1:14" x14ac:dyDescent="0.25">
      <c r="A9" s="14">
        <v>40448</v>
      </c>
      <c r="B9" t="s">
        <v>92</v>
      </c>
      <c r="C9" t="s">
        <v>96</v>
      </c>
      <c r="D9">
        <v>1.95</v>
      </c>
      <c r="E9">
        <v>54.250000000000007</v>
      </c>
      <c r="F9">
        <v>3.89</v>
      </c>
      <c r="G9">
        <v>0</v>
      </c>
      <c r="H9">
        <v>49.69</v>
      </c>
      <c r="I9">
        <v>0.49</v>
      </c>
      <c r="J9">
        <v>3.18</v>
      </c>
      <c r="K9">
        <v>9.7800000000000011</v>
      </c>
      <c r="L9">
        <v>0</v>
      </c>
      <c r="M9">
        <v>2.23</v>
      </c>
      <c r="N9" t="s">
        <v>95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630F-8200-4390-888A-FB66B2D25CAA}">
  <dimension ref="A1:N9"/>
  <sheetViews>
    <sheetView workbookViewId="0">
      <selection activeCell="C13" sqref="C13"/>
    </sheetView>
  </sheetViews>
  <sheetFormatPr defaultRowHeight="15" x14ac:dyDescent="0.25"/>
  <cols>
    <col min="1" max="1" width="12.28515625" style="14" bestFit="1" customWidth="1"/>
  </cols>
  <sheetData>
    <row r="1" spans="1:14" ht="75" x14ac:dyDescent="0.25">
      <c r="A1" s="14" t="s">
        <v>6</v>
      </c>
      <c r="B1" t="s">
        <v>41</v>
      </c>
      <c r="C1" t="s">
        <v>5</v>
      </c>
      <c r="D1" s="10" t="s">
        <v>82</v>
      </c>
      <c r="E1" s="10" t="s">
        <v>83</v>
      </c>
      <c r="F1" s="27" t="s">
        <v>84</v>
      </c>
      <c r="G1" s="10" t="s">
        <v>85</v>
      </c>
      <c r="H1" s="22" t="s">
        <v>86</v>
      </c>
      <c r="I1" s="10" t="s">
        <v>87</v>
      </c>
      <c r="J1" s="23" t="s">
        <v>88</v>
      </c>
      <c r="K1" s="24" t="s">
        <v>89</v>
      </c>
      <c r="L1" s="10" t="s">
        <v>90</v>
      </c>
      <c r="M1" s="10" t="s">
        <v>91</v>
      </c>
      <c r="N1" s="10" t="s">
        <v>93</v>
      </c>
    </row>
    <row r="2" spans="1:14" x14ac:dyDescent="0.25">
      <c r="A2" s="14">
        <v>40693</v>
      </c>
      <c r="B2" t="s">
        <v>92</v>
      </c>
      <c r="C2" t="s">
        <v>96</v>
      </c>
      <c r="D2">
        <v>0.04</v>
      </c>
      <c r="E2">
        <v>12.77</v>
      </c>
      <c r="F2">
        <v>0.63</v>
      </c>
      <c r="G2">
        <v>0</v>
      </c>
      <c r="H2">
        <v>4.2799999999999994</v>
      </c>
      <c r="I2">
        <v>1.32</v>
      </c>
      <c r="J2">
        <v>0.47000000000000003</v>
      </c>
      <c r="K2">
        <v>6.67</v>
      </c>
      <c r="L2">
        <v>0</v>
      </c>
      <c r="M2">
        <v>1062.19</v>
      </c>
      <c r="N2" t="s">
        <v>94</v>
      </c>
    </row>
    <row r="3" spans="1:14" x14ac:dyDescent="0.25">
      <c r="A3" s="14">
        <v>40728</v>
      </c>
      <c r="B3" t="s">
        <v>92</v>
      </c>
      <c r="C3" t="s">
        <v>96</v>
      </c>
      <c r="D3">
        <v>0</v>
      </c>
      <c r="E3">
        <v>28.18</v>
      </c>
      <c r="F3">
        <v>14.040000000000001</v>
      </c>
      <c r="G3">
        <v>0</v>
      </c>
      <c r="H3">
        <v>30.330000000000002</v>
      </c>
      <c r="I3">
        <v>0.22</v>
      </c>
      <c r="J3">
        <v>0</v>
      </c>
      <c r="K3">
        <v>5.24</v>
      </c>
      <c r="L3">
        <v>0</v>
      </c>
      <c r="M3">
        <v>1154.3900000000001</v>
      </c>
      <c r="N3" t="s">
        <v>94</v>
      </c>
    </row>
    <row r="4" spans="1:14" x14ac:dyDescent="0.25">
      <c r="A4" s="14">
        <v>40777</v>
      </c>
      <c r="B4" t="s">
        <v>92</v>
      </c>
      <c r="C4" t="s">
        <v>96</v>
      </c>
      <c r="D4">
        <v>0.03</v>
      </c>
      <c r="E4">
        <v>20.18</v>
      </c>
      <c r="F4">
        <v>0.15</v>
      </c>
      <c r="G4">
        <v>0</v>
      </c>
      <c r="H4">
        <v>45.7</v>
      </c>
      <c r="I4">
        <v>0</v>
      </c>
      <c r="J4">
        <v>1.29</v>
      </c>
      <c r="K4">
        <v>7.9799999999999986</v>
      </c>
      <c r="L4">
        <v>0</v>
      </c>
      <c r="M4">
        <v>33.69</v>
      </c>
      <c r="N4" t="s">
        <v>94</v>
      </c>
    </row>
    <row r="5" spans="1:14" x14ac:dyDescent="0.25">
      <c r="A5" s="14">
        <v>40819</v>
      </c>
      <c r="B5" t="s">
        <v>92</v>
      </c>
      <c r="C5" t="s">
        <v>96</v>
      </c>
      <c r="D5">
        <v>2.4799999999999995</v>
      </c>
      <c r="E5">
        <v>24.419999999999998</v>
      </c>
      <c r="F5">
        <v>7.9</v>
      </c>
      <c r="G5">
        <v>0</v>
      </c>
      <c r="H5">
        <v>19.369999999999997</v>
      </c>
      <c r="I5">
        <v>0.38</v>
      </c>
      <c r="J5">
        <v>3.69</v>
      </c>
      <c r="K5">
        <v>14.010000000000002</v>
      </c>
      <c r="L5">
        <v>0</v>
      </c>
      <c r="M5">
        <v>97.06</v>
      </c>
      <c r="N5" t="s">
        <v>94</v>
      </c>
    </row>
    <row r="6" spans="1:14" x14ac:dyDescent="0.25">
      <c r="A6" s="14">
        <v>40693</v>
      </c>
      <c r="B6" t="s">
        <v>92</v>
      </c>
      <c r="C6" t="s">
        <v>96</v>
      </c>
      <c r="D6">
        <v>0</v>
      </c>
      <c r="E6">
        <v>12.77</v>
      </c>
      <c r="F6">
        <v>0.63</v>
      </c>
      <c r="G6">
        <v>0</v>
      </c>
      <c r="H6">
        <v>3.3800000000000003</v>
      </c>
      <c r="I6">
        <v>1.32</v>
      </c>
      <c r="J6">
        <v>0.47000000000000003</v>
      </c>
      <c r="K6">
        <v>5.3699999999999992</v>
      </c>
      <c r="L6">
        <v>0</v>
      </c>
      <c r="M6">
        <v>10.64</v>
      </c>
      <c r="N6" t="s">
        <v>95</v>
      </c>
    </row>
    <row r="7" spans="1:14" x14ac:dyDescent="0.25">
      <c r="A7" s="14">
        <v>40728</v>
      </c>
      <c r="B7" t="s">
        <v>92</v>
      </c>
      <c r="C7" t="s">
        <v>96</v>
      </c>
      <c r="D7">
        <v>0</v>
      </c>
      <c r="E7">
        <v>28.18</v>
      </c>
      <c r="F7">
        <v>14.040000000000001</v>
      </c>
      <c r="G7">
        <v>0</v>
      </c>
      <c r="H7">
        <v>30.330000000000002</v>
      </c>
      <c r="I7">
        <v>0.22</v>
      </c>
      <c r="J7">
        <v>0</v>
      </c>
      <c r="K7">
        <v>4.95</v>
      </c>
      <c r="L7">
        <v>0</v>
      </c>
      <c r="M7">
        <v>13.04</v>
      </c>
      <c r="N7" t="s">
        <v>95</v>
      </c>
    </row>
    <row r="8" spans="1:14" x14ac:dyDescent="0.25">
      <c r="A8" s="14">
        <v>40777</v>
      </c>
      <c r="B8" t="s">
        <v>92</v>
      </c>
      <c r="C8" t="s">
        <v>96</v>
      </c>
      <c r="D8">
        <v>0</v>
      </c>
      <c r="E8">
        <v>20.18</v>
      </c>
      <c r="F8">
        <v>0.15</v>
      </c>
      <c r="G8">
        <v>0</v>
      </c>
      <c r="H8">
        <v>45.38</v>
      </c>
      <c r="I8">
        <v>0</v>
      </c>
      <c r="J8">
        <v>1.29</v>
      </c>
      <c r="K8">
        <v>7.0699999999999994</v>
      </c>
      <c r="L8">
        <v>0</v>
      </c>
      <c r="M8">
        <v>2.17</v>
      </c>
      <c r="N8" t="s">
        <v>95</v>
      </c>
    </row>
    <row r="9" spans="1:14" x14ac:dyDescent="0.25">
      <c r="A9" s="14">
        <v>40819</v>
      </c>
      <c r="B9" t="s">
        <v>92</v>
      </c>
      <c r="C9" t="s">
        <v>96</v>
      </c>
      <c r="D9">
        <v>0</v>
      </c>
      <c r="E9">
        <v>1.7</v>
      </c>
      <c r="F9">
        <v>7.9</v>
      </c>
      <c r="G9">
        <v>0</v>
      </c>
      <c r="H9">
        <v>12.45</v>
      </c>
      <c r="I9">
        <v>0.38</v>
      </c>
      <c r="J9">
        <v>3.69</v>
      </c>
      <c r="K9">
        <v>11.99</v>
      </c>
      <c r="L9">
        <v>0</v>
      </c>
      <c r="M9">
        <v>10.210000000000001</v>
      </c>
      <c r="N9" t="s">
        <v>95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D620-939B-4067-804F-DEF6411A2231}">
  <dimension ref="A1:N9"/>
  <sheetViews>
    <sheetView workbookViewId="0">
      <selection activeCell="F16" sqref="F16"/>
    </sheetView>
  </sheetViews>
  <sheetFormatPr defaultRowHeight="15" x14ac:dyDescent="0.25"/>
  <cols>
    <col min="1" max="1" width="11.85546875" style="14" bestFit="1" customWidth="1"/>
  </cols>
  <sheetData>
    <row r="1" spans="1:14" ht="75" x14ac:dyDescent="0.25">
      <c r="A1" s="14" t="s">
        <v>6</v>
      </c>
      <c r="B1" t="s">
        <v>41</v>
      </c>
      <c r="C1" t="s">
        <v>5</v>
      </c>
      <c r="D1" s="10" t="s">
        <v>82</v>
      </c>
      <c r="E1" s="10" t="s">
        <v>83</v>
      </c>
      <c r="F1" s="27" t="s">
        <v>84</v>
      </c>
      <c r="G1" s="10" t="s">
        <v>85</v>
      </c>
      <c r="H1" s="22" t="s">
        <v>86</v>
      </c>
      <c r="I1" s="10" t="s">
        <v>87</v>
      </c>
      <c r="J1" s="23" t="s">
        <v>88</v>
      </c>
      <c r="K1" s="24" t="s">
        <v>89</v>
      </c>
      <c r="L1" s="10" t="s">
        <v>90</v>
      </c>
      <c r="M1" s="10" t="s">
        <v>91</v>
      </c>
      <c r="N1" s="10" t="s">
        <v>93</v>
      </c>
    </row>
    <row r="2" spans="1:14" x14ac:dyDescent="0.25">
      <c r="A2" s="14">
        <v>41064</v>
      </c>
      <c r="B2" t="s">
        <v>92</v>
      </c>
      <c r="C2" t="s">
        <v>96</v>
      </c>
      <c r="D2">
        <v>0.02</v>
      </c>
      <c r="E2">
        <v>13.440000000000001</v>
      </c>
      <c r="F2">
        <v>9.86</v>
      </c>
      <c r="G2">
        <v>0</v>
      </c>
      <c r="H2">
        <v>126.00999999999999</v>
      </c>
      <c r="I2">
        <v>0.97</v>
      </c>
      <c r="J2">
        <v>1.57</v>
      </c>
      <c r="K2">
        <v>4.7300000000000004</v>
      </c>
      <c r="L2">
        <v>0</v>
      </c>
      <c r="M2">
        <v>797.23</v>
      </c>
      <c r="N2" t="s">
        <v>94</v>
      </c>
    </row>
    <row r="3" spans="1:14" x14ac:dyDescent="0.25">
      <c r="A3" s="14">
        <v>41106</v>
      </c>
      <c r="B3" t="s">
        <v>92</v>
      </c>
      <c r="C3" t="s">
        <v>96</v>
      </c>
      <c r="D3">
        <v>0</v>
      </c>
      <c r="E3">
        <v>15.43</v>
      </c>
      <c r="F3">
        <v>0.42</v>
      </c>
      <c r="G3">
        <v>0</v>
      </c>
      <c r="H3">
        <v>5.1100000000000003</v>
      </c>
      <c r="I3">
        <v>0</v>
      </c>
      <c r="J3">
        <v>1.28</v>
      </c>
      <c r="K3">
        <v>2.8</v>
      </c>
      <c r="L3">
        <v>0</v>
      </c>
      <c r="M3">
        <v>495.76</v>
      </c>
      <c r="N3" t="s">
        <v>94</v>
      </c>
    </row>
    <row r="4" spans="1:14" x14ac:dyDescent="0.25">
      <c r="A4" s="14">
        <v>41141</v>
      </c>
      <c r="B4" t="s">
        <v>92</v>
      </c>
      <c r="C4" t="s">
        <v>96</v>
      </c>
      <c r="D4">
        <v>0</v>
      </c>
      <c r="E4">
        <v>7.08</v>
      </c>
      <c r="F4">
        <v>0</v>
      </c>
      <c r="G4">
        <v>0</v>
      </c>
      <c r="H4">
        <v>24.86</v>
      </c>
      <c r="I4">
        <v>0</v>
      </c>
      <c r="J4">
        <v>11.72</v>
      </c>
      <c r="K4">
        <v>5.08</v>
      </c>
      <c r="L4">
        <v>0</v>
      </c>
      <c r="M4">
        <v>153.84</v>
      </c>
      <c r="N4" t="s">
        <v>94</v>
      </c>
    </row>
    <row r="5" spans="1:14" x14ac:dyDescent="0.25">
      <c r="A5" s="14">
        <v>41176</v>
      </c>
      <c r="B5" t="s">
        <v>92</v>
      </c>
      <c r="C5" t="s">
        <v>96</v>
      </c>
      <c r="D5">
        <v>0.1</v>
      </c>
      <c r="E5">
        <v>2.34</v>
      </c>
      <c r="F5">
        <v>0.8</v>
      </c>
      <c r="G5">
        <v>0</v>
      </c>
      <c r="H5">
        <v>9.35</v>
      </c>
      <c r="I5">
        <v>0.06</v>
      </c>
      <c r="J5">
        <v>5.71</v>
      </c>
      <c r="K5">
        <v>4.51</v>
      </c>
      <c r="L5">
        <v>0</v>
      </c>
      <c r="M5">
        <v>4</v>
      </c>
      <c r="N5" t="s">
        <v>94</v>
      </c>
    </row>
    <row r="6" spans="1:14" x14ac:dyDescent="0.25">
      <c r="A6" s="14">
        <v>41064</v>
      </c>
      <c r="B6" t="s">
        <v>92</v>
      </c>
      <c r="C6" t="s">
        <v>96</v>
      </c>
      <c r="D6">
        <v>0</v>
      </c>
      <c r="E6">
        <v>13.440000000000001</v>
      </c>
      <c r="F6">
        <v>9.86</v>
      </c>
      <c r="G6">
        <v>0</v>
      </c>
      <c r="H6">
        <v>103.35</v>
      </c>
      <c r="I6">
        <v>0.97</v>
      </c>
      <c r="J6">
        <v>1.57</v>
      </c>
      <c r="K6">
        <v>3</v>
      </c>
      <c r="L6">
        <v>0</v>
      </c>
      <c r="M6">
        <v>14.02</v>
      </c>
      <c r="N6" t="s">
        <v>95</v>
      </c>
    </row>
    <row r="7" spans="1:14" x14ac:dyDescent="0.25">
      <c r="A7" s="14">
        <v>41106</v>
      </c>
      <c r="B7" t="s">
        <v>92</v>
      </c>
      <c r="C7" t="s">
        <v>96</v>
      </c>
      <c r="D7">
        <v>0</v>
      </c>
      <c r="E7">
        <v>15.43</v>
      </c>
      <c r="F7">
        <v>0.42</v>
      </c>
      <c r="G7">
        <v>0</v>
      </c>
      <c r="H7">
        <v>4.57</v>
      </c>
      <c r="I7">
        <v>0</v>
      </c>
      <c r="J7">
        <v>1.28</v>
      </c>
      <c r="K7">
        <v>2.54</v>
      </c>
      <c r="L7">
        <v>0</v>
      </c>
      <c r="M7">
        <v>256.93</v>
      </c>
      <c r="N7" t="s">
        <v>95</v>
      </c>
    </row>
    <row r="8" spans="1:14" x14ac:dyDescent="0.25">
      <c r="A8" s="14">
        <v>41141</v>
      </c>
      <c r="B8" t="s">
        <v>92</v>
      </c>
      <c r="C8" t="s">
        <v>96</v>
      </c>
      <c r="D8">
        <v>0</v>
      </c>
      <c r="E8">
        <v>7.08</v>
      </c>
      <c r="F8">
        <v>0</v>
      </c>
      <c r="G8">
        <v>0</v>
      </c>
      <c r="H8">
        <v>23.91</v>
      </c>
      <c r="I8">
        <v>0</v>
      </c>
      <c r="J8">
        <v>11.72</v>
      </c>
      <c r="K8">
        <v>5.08</v>
      </c>
      <c r="L8">
        <v>0</v>
      </c>
      <c r="M8">
        <v>0.16</v>
      </c>
      <c r="N8" t="s">
        <v>95</v>
      </c>
    </row>
    <row r="9" spans="1:14" x14ac:dyDescent="0.25">
      <c r="A9" s="14">
        <v>41176</v>
      </c>
      <c r="B9" t="s">
        <v>92</v>
      </c>
      <c r="C9" t="s">
        <v>96</v>
      </c>
      <c r="D9">
        <v>0</v>
      </c>
      <c r="E9">
        <v>2.34</v>
      </c>
      <c r="F9">
        <v>0.8</v>
      </c>
      <c r="G9">
        <v>0</v>
      </c>
      <c r="H9">
        <v>9.31</v>
      </c>
      <c r="I9">
        <v>0.06</v>
      </c>
      <c r="J9">
        <v>5.71</v>
      </c>
      <c r="K9">
        <v>3.24</v>
      </c>
      <c r="L9">
        <v>0</v>
      </c>
      <c r="M9">
        <v>0.14000000000000001</v>
      </c>
      <c r="N9" t="s">
        <v>95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0CD1-A88F-40ED-9DDA-9AB8FAB61216}">
  <dimension ref="A1:E13"/>
  <sheetViews>
    <sheetView workbookViewId="0">
      <selection activeCell="J16" sqref="J16"/>
    </sheetView>
  </sheetViews>
  <sheetFormatPr defaultRowHeight="15" x14ac:dyDescent="0.25"/>
  <cols>
    <col min="1" max="1" width="9.7109375" style="37" bestFit="1" customWidth="1"/>
  </cols>
  <sheetData>
    <row r="1" spans="1:5" ht="27.75" x14ac:dyDescent="0.25">
      <c r="A1" s="36" t="s">
        <v>6</v>
      </c>
      <c r="B1" s="28" t="s">
        <v>97</v>
      </c>
      <c r="C1" s="28" t="s">
        <v>98</v>
      </c>
      <c r="D1" s="28" t="s">
        <v>99</v>
      </c>
      <c r="E1" s="28" t="s">
        <v>100</v>
      </c>
    </row>
    <row r="2" spans="1:5" x14ac:dyDescent="0.25">
      <c r="A2" s="29">
        <v>39573</v>
      </c>
      <c r="B2" s="30" t="s">
        <v>101</v>
      </c>
      <c r="C2" s="31">
        <v>43.347824663425897</v>
      </c>
      <c r="D2" s="31">
        <v>1.8423498719284468</v>
      </c>
      <c r="E2" s="32">
        <v>0.27026739999999999</v>
      </c>
    </row>
    <row r="3" spans="1:5" x14ac:dyDescent="0.25">
      <c r="A3" s="29">
        <v>39573</v>
      </c>
      <c r="B3" s="30">
        <v>20</v>
      </c>
      <c r="C3" s="31">
        <v>46.449132444223856</v>
      </c>
      <c r="D3" s="31">
        <v>1.7904526924375044</v>
      </c>
      <c r="E3" s="25"/>
    </row>
    <row r="4" spans="1:5" x14ac:dyDescent="0.25">
      <c r="A4" s="29">
        <v>39608</v>
      </c>
      <c r="B4" s="30" t="s">
        <v>101</v>
      </c>
      <c r="C4" s="31">
        <v>19.46841700273588</v>
      </c>
      <c r="D4" s="31">
        <v>4.1969479936799274</v>
      </c>
      <c r="E4" s="32">
        <v>1.3946719999999999</v>
      </c>
    </row>
    <row r="5" spans="1:5" x14ac:dyDescent="0.25">
      <c r="A5" s="29">
        <v>39608</v>
      </c>
      <c r="B5" s="30">
        <v>20</v>
      </c>
      <c r="C5" s="31">
        <v>44.733255896253965</v>
      </c>
      <c r="D5" s="31">
        <v>3.3676761719803094</v>
      </c>
      <c r="E5" s="25"/>
    </row>
    <row r="6" spans="1:5" x14ac:dyDescent="0.25">
      <c r="A6" s="29">
        <v>39646</v>
      </c>
      <c r="B6" s="30" t="s">
        <v>101</v>
      </c>
      <c r="C6" s="31">
        <v>2.0800170941646732</v>
      </c>
      <c r="D6" s="31">
        <v>4.8651440912332689</v>
      </c>
      <c r="E6" s="32">
        <v>0.23136983999999999</v>
      </c>
    </row>
    <row r="7" spans="1:5" x14ac:dyDescent="0.25">
      <c r="A7" s="29">
        <v>39646</v>
      </c>
      <c r="B7" s="30">
        <v>20</v>
      </c>
      <c r="C7" s="31">
        <v>35.934088419879373</v>
      </c>
      <c r="D7" s="31">
        <v>3.5948009118556943</v>
      </c>
      <c r="E7" s="25"/>
    </row>
    <row r="8" spans="1:5" x14ac:dyDescent="0.25">
      <c r="A8" s="29">
        <v>39680</v>
      </c>
      <c r="B8" s="30" t="s">
        <v>101</v>
      </c>
      <c r="C8" s="31"/>
      <c r="D8" s="31">
        <v>1.6208271315065512</v>
      </c>
      <c r="E8" s="32">
        <v>0.57849556363636356</v>
      </c>
    </row>
    <row r="9" spans="1:5" x14ac:dyDescent="0.25">
      <c r="A9" s="29">
        <v>39680</v>
      </c>
      <c r="B9" s="30">
        <v>20</v>
      </c>
      <c r="C9" s="31"/>
      <c r="D9" s="31">
        <v>1.4209991289920452</v>
      </c>
      <c r="E9" s="25"/>
    </row>
    <row r="10" spans="1:5" x14ac:dyDescent="0.25">
      <c r="A10" s="29">
        <v>39708</v>
      </c>
      <c r="B10" s="30" t="s">
        <v>101</v>
      </c>
      <c r="C10" s="31"/>
      <c r="D10" s="31">
        <v>2.3979360301740749</v>
      </c>
      <c r="E10" s="32">
        <v>0.92883183157894733</v>
      </c>
    </row>
    <row r="11" spans="1:5" x14ac:dyDescent="0.25">
      <c r="A11" s="29">
        <v>39708</v>
      </c>
      <c r="B11" s="30">
        <v>20</v>
      </c>
      <c r="C11" s="31"/>
      <c r="D11" s="31">
        <v>2.0426862479260648</v>
      </c>
      <c r="E11" s="25"/>
    </row>
    <row r="12" spans="1:5" x14ac:dyDescent="0.25">
      <c r="A12" s="29">
        <v>39744</v>
      </c>
      <c r="B12" s="30" t="s">
        <v>101</v>
      </c>
      <c r="C12" s="31"/>
      <c r="D12" s="31">
        <v>1.2433742378680388</v>
      </c>
      <c r="E12" s="32">
        <v>0.97002560000000004</v>
      </c>
    </row>
    <row r="13" spans="1:5" x14ac:dyDescent="0.25">
      <c r="A13" s="29">
        <v>39744</v>
      </c>
      <c r="B13" s="30">
        <v>20</v>
      </c>
      <c r="C13" s="31"/>
      <c r="D13" s="31">
        <v>1.2433742378680395</v>
      </c>
      <c r="E13" s="25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4720-4F16-4043-A976-3A10A0426B35}">
  <dimension ref="A1:E13"/>
  <sheetViews>
    <sheetView workbookViewId="0">
      <selection activeCell="G11" sqref="G11"/>
    </sheetView>
  </sheetViews>
  <sheetFormatPr defaultRowHeight="15" x14ac:dyDescent="0.25"/>
  <sheetData>
    <row r="1" spans="1:5" ht="27.75" x14ac:dyDescent="0.25">
      <c r="A1" s="36" t="s">
        <v>6</v>
      </c>
      <c r="B1" s="28" t="s">
        <v>97</v>
      </c>
      <c r="C1" s="28" t="s">
        <v>98</v>
      </c>
      <c r="D1" s="28" t="s">
        <v>99</v>
      </c>
      <c r="E1" s="28" t="s">
        <v>100</v>
      </c>
    </row>
    <row r="2" spans="1:5" x14ac:dyDescent="0.25">
      <c r="A2" s="37">
        <v>39937</v>
      </c>
      <c r="B2" t="s">
        <v>101</v>
      </c>
      <c r="C2">
        <v>37.676258676831445</v>
      </c>
      <c r="D2">
        <v>2.8467769325833432</v>
      </c>
      <c r="E2">
        <v>0.69213199999999997</v>
      </c>
    </row>
    <row r="3" spans="1:5" x14ac:dyDescent="0.25">
      <c r="A3" s="37">
        <v>39972</v>
      </c>
      <c r="B3" t="s">
        <v>101</v>
      </c>
      <c r="C3">
        <v>21.801813339215308</v>
      </c>
      <c r="D3">
        <v>2.7751599028328195</v>
      </c>
      <c r="E3">
        <v>0.77643679999999993</v>
      </c>
    </row>
    <row r="4" spans="1:5" x14ac:dyDescent="0.25">
      <c r="A4" s="37">
        <v>40000</v>
      </c>
      <c r="B4" t="s">
        <v>101</v>
      </c>
      <c r="C4">
        <v>5.1504502305380395</v>
      </c>
      <c r="D4">
        <v>3.007915249522024</v>
      </c>
      <c r="E4">
        <v>1.202124</v>
      </c>
    </row>
    <row r="5" spans="1:5" x14ac:dyDescent="0.25">
      <c r="A5" s="37">
        <v>40042</v>
      </c>
      <c r="B5" t="s">
        <v>101</v>
      </c>
      <c r="C5">
        <v>1.2708903166262695</v>
      </c>
      <c r="D5">
        <v>3.1690535664607031</v>
      </c>
      <c r="E5">
        <v>0.34658639999999996</v>
      </c>
    </row>
    <row r="6" spans="1:5" x14ac:dyDescent="0.25">
      <c r="A6" s="37">
        <v>40077</v>
      </c>
      <c r="B6" t="s">
        <v>101</v>
      </c>
      <c r="C6">
        <v>1.6722241008240375</v>
      </c>
      <c r="D6">
        <v>3.4555216854628017</v>
      </c>
      <c r="E6">
        <v>0.64390826666666667</v>
      </c>
    </row>
    <row r="7" spans="1:5" x14ac:dyDescent="0.25">
      <c r="A7" s="37">
        <v>40105</v>
      </c>
      <c r="B7" t="s">
        <v>101</v>
      </c>
      <c r="C7">
        <v>2.6755585613184616</v>
      </c>
      <c r="D7">
        <v>2.864681190020975</v>
      </c>
      <c r="E7">
        <v>0.72867564444444444</v>
      </c>
    </row>
    <row r="8" spans="1:5" x14ac:dyDescent="0.25">
      <c r="A8" s="37">
        <v>39937</v>
      </c>
      <c r="B8">
        <v>20</v>
      </c>
      <c r="C8">
        <v>49.735386680084915</v>
      </c>
      <c r="D8">
        <v>3.025819506959655</v>
      </c>
    </row>
    <row r="9" spans="1:5" x14ac:dyDescent="0.25">
      <c r="A9" s="37">
        <v>39972</v>
      </c>
      <c r="B9">
        <v>20</v>
      </c>
      <c r="C9">
        <v>48.168381346328815</v>
      </c>
      <c r="D9">
        <v>2.5961173284565087</v>
      </c>
    </row>
    <row r="10" spans="1:5" x14ac:dyDescent="0.25">
      <c r="A10" s="37">
        <v>40000</v>
      </c>
      <c r="B10">
        <v>20</v>
      </c>
      <c r="C10">
        <v>47.424275499369728</v>
      </c>
      <c r="D10">
        <v>2.5961173284565087</v>
      </c>
    </row>
    <row r="11" spans="1:5" x14ac:dyDescent="0.25">
      <c r="A11" s="37">
        <v>40042</v>
      </c>
      <c r="B11">
        <v>20</v>
      </c>
      <c r="C11">
        <v>49.029610636160804</v>
      </c>
      <c r="D11">
        <v>2.3991704966425682</v>
      </c>
    </row>
    <row r="12" spans="1:5" x14ac:dyDescent="0.25">
      <c r="A12" s="37">
        <v>40077</v>
      </c>
      <c r="B12">
        <v>20</v>
      </c>
      <c r="C12">
        <v>51.17005748521558</v>
      </c>
      <c r="D12">
        <v>2.0231810904523138</v>
      </c>
    </row>
    <row r="13" spans="1:5" x14ac:dyDescent="0.25">
      <c r="A13" s="37">
        <v>40105</v>
      </c>
      <c r="B13">
        <v>20</v>
      </c>
      <c r="C13">
        <v>50.9693905931167</v>
      </c>
      <c r="D13">
        <v>2.1843194073909933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98B6-1F6D-4350-942F-22C3CFEF3632}">
  <dimension ref="A1:E9"/>
  <sheetViews>
    <sheetView workbookViewId="0">
      <selection activeCell="F8" sqref="F8"/>
    </sheetView>
  </sheetViews>
  <sheetFormatPr defaultRowHeight="15" x14ac:dyDescent="0.25"/>
  <sheetData>
    <row r="1" spans="1:5" ht="29.25" x14ac:dyDescent="0.25">
      <c r="A1" s="38" t="s">
        <v>6</v>
      </c>
      <c r="B1" s="38" t="s">
        <v>97</v>
      </c>
      <c r="C1" s="38" t="s">
        <v>102</v>
      </c>
      <c r="D1" s="38" t="s">
        <v>103</v>
      </c>
      <c r="E1" s="38" t="s">
        <v>104</v>
      </c>
    </row>
    <row r="2" spans="1:5" x14ac:dyDescent="0.25">
      <c r="A2" s="33">
        <v>40290</v>
      </c>
      <c r="B2" s="34" t="s">
        <v>101</v>
      </c>
      <c r="C2" s="35">
        <v>30.791348666753834</v>
      </c>
      <c r="D2" s="35">
        <v>1.8183260908586043</v>
      </c>
      <c r="E2" s="35">
        <v>0.33617839999999999</v>
      </c>
    </row>
    <row r="3" spans="1:5" x14ac:dyDescent="0.25">
      <c r="A3" s="33">
        <v>40336</v>
      </c>
      <c r="B3" s="34" t="s">
        <v>101</v>
      </c>
      <c r="C3" s="35">
        <v>15.602791028444766</v>
      </c>
      <c r="D3" s="35">
        <v>2.3078754230128444</v>
      </c>
      <c r="E3" s="35">
        <v>0.6255208000000001</v>
      </c>
    </row>
    <row r="4" spans="1:5" x14ac:dyDescent="0.25">
      <c r="A4" s="33">
        <v>40385</v>
      </c>
      <c r="B4" s="34" t="s">
        <v>101</v>
      </c>
      <c r="C4" s="35">
        <v>0.3451944917797527</v>
      </c>
      <c r="D4" s="35">
        <v>2.3880319836909498</v>
      </c>
      <c r="E4" s="35">
        <v>0.35881580000000002</v>
      </c>
    </row>
    <row r="5" spans="1:5" x14ac:dyDescent="0.25">
      <c r="A5" s="33">
        <v>40448</v>
      </c>
      <c r="B5" s="34" t="s">
        <v>101</v>
      </c>
      <c r="C5" s="35">
        <v>0.41423339013570276</v>
      </c>
      <c r="D5" s="35">
        <v>2.6635741356552911</v>
      </c>
      <c r="E5" s="35">
        <v>0.62343919999999997</v>
      </c>
    </row>
    <row r="6" spans="1:5" x14ac:dyDescent="0.25">
      <c r="A6" s="33">
        <v>40290</v>
      </c>
      <c r="B6" s="34">
        <v>20</v>
      </c>
      <c r="C6" s="35">
        <v>38.523705282620263</v>
      </c>
      <c r="D6" s="35">
        <v>1.3287767587043651</v>
      </c>
    </row>
    <row r="7" spans="1:5" x14ac:dyDescent="0.25">
      <c r="A7" s="33">
        <v>40336</v>
      </c>
      <c r="B7" s="34">
        <v>20</v>
      </c>
      <c r="C7" s="35">
        <v>34.519449177975147</v>
      </c>
      <c r="D7" s="35">
        <v>1.7017667260599767</v>
      </c>
    </row>
    <row r="8" spans="1:5" x14ac:dyDescent="0.25">
      <c r="A8" s="33">
        <v>40385</v>
      </c>
      <c r="B8" s="34">
        <v>20</v>
      </c>
      <c r="C8" s="35">
        <v>34.864643669754898</v>
      </c>
      <c r="D8" s="35">
        <v>1.8369476797622692</v>
      </c>
    </row>
    <row r="9" spans="1:5" x14ac:dyDescent="0.25">
      <c r="A9" s="33">
        <v>40448</v>
      </c>
      <c r="B9" s="34">
        <v>20</v>
      </c>
      <c r="C9" s="35">
        <v>35.624071551670355</v>
      </c>
      <c r="D9" s="35">
        <v>1.9287950637503823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05A3-B386-4B35-8A7C-98ACD0170593}">
  <dimension ref="A1:E9"/>
  <sheetViews>
    <sheetView workbookViewId="0">
      <selection activeCell="J15" sqref="J15"/>
    </sheetView>
  </sheetViews>
  <sheetFormatPr defaultRowHeight="15" x14ac:dyDescent="0.25"/>
  <cols>
    <col min="1" max="1" width="10.28515625" style="37" bestFit="1" customWidth="1"/>
  </cols>
  <sheetData>
    <row r="1" spans="1:5" x14ac:dyDescent="0.25">
      <c r="A1" s="37" t="s">
        <v>6</v>
      </c>
      <c r="B1" t="s">
        <v>97</v>
      </c>
      <c r="C1" t="s">
        <v>105</v>
      </c>
      <c r="D1" t="s">
        <v>106</v>
      </c>
      <c r="E1" t="s">
        <v>107</v>
      </c>
    </row>
    <row r="2" spans="1:5" x14ac:dyDescent="0.25">
      <c r="A2" s="37">
        <v>40693</v>
      </c>
      <c r="B2" t="s">
        <v>101</v>
      </c>
      <c r="C2">
        <v>26.069832176846081</v>
      </c>
      <c r="D2">
        <v>0.78202356979684573</v>
      </c>
      <c r="E2">
        <v>0.21263544000000001</v>
      </c>
    </row>
    <row r="3" spans="1:5" x14ac:dyDescent="0.25">
      <c r="A3" s="37">
        <v>40728</v>
      </c>
      <c r="B3" t="s">
        <v>101</v>
      </c>
      <c r="C3">
        <v>12.230065498567651</v>
      </c>
      <c r="D3">
        <v>1.2568235943163588</v>
      </c>
      <c r="E3">
        <v>0.48293119999999995</v>
      </c>
    </row>
    <row r="4" spans="1:5" x14ac:dyDescent="0.25">
      <c r="A4" s="37">
        <v>40777</v>
      </c>
      <c r="B4" t="s">
        <v>101</v>
      </c>
      <c r="C4">
        <v>1.1897797251983169</v>
      </c>
      <c r="D4">
        <v>1.0892471150741772</v>
      </c>
      <c r="E4">
        <v>0.37572879999999997</v>
      </c>
    </row>
    <row r="5" spans="1:5" x14ac:dyDescent="0.25">
      <c r="A5" s="37">
        <v>40819</v>
      </c>
      <c r="B5" t="s">
        <v>101</v>
      </c>
      <c r="C5">
        <v>2.939455791666429</v>
      </c>
      <c r="D5">
        <v>2.094705990527264</v>
      </c>
      <c r="E5">
        <v>0.53601200000000004</v>
      </c>
    </row>
    <row r="6" spans="1:5" x14ac:dyDescent="0.25">
      <c r="A6" s="37">
        <v>40693</v>
      </c>
      <c r="B6">
        <v>25</v>
      </c>
      <c r="C6">
        <v>37.932295495410969</v>
      </c>
      <c r="D6">
        <v>1.8154118584569621</v>
      </c>
    </row>
    <row r="7" spans="1:5" x14ac:dyDescent="0.25">
      <c r="A7" s="37">
        <v>40728</v>
      </c>
      <c r="B7">
        <v>25</v>
      </c>
      <c r="C7">
        <v>34.670764585270618</v>
      </c>
      <c r="D7">
        <v>1.3964706603515098</v>
      </c>
    </row>
    <row r="8" spans="1:5" x14ac:dyDescent="0.25">
      <c r="A8" s="37">
        <v>40777</v>
      </c>
      <c r="B8">
        <v>25</v>
      </c>
      <c r="C8">
        <v>34.503612030751185</v>
      </c>
      <c r="D8">
        <v>1.731623618835872</v>
      </c>
    </row>
    <row r="9" spans="1:5" x14ac:dyDescent="0.25">
      <c r="A9" s="37">
        <v>40819</v>
      </c>
      <c r="B9">
        <v>25</v>
      </c>
      <c r="C9">
        <v>30.934272855156237</v>
      </c>
      <c r="D9">
        <v>1.6757647924218122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1A2B-88FF-48CB-916D-CEA12A9ECCA7}">
  <dimension ref="A1:E9"/>
  <sheetViews>
    <sheetView workbookViewId="0">
      <selection activeCell="J18" sqref="J18"/>
    </sheetView>
  </sheetViews>
  <sheetFormatPr defaultRowHeight="15" x14ac:dyDescent="0.25"/>
  <cols>
    <col min="1" max="1" width="9.85546875" style="37" bestFit="1" customWidth="1"/>
  </cols>
  <sheetData>
    <row r="1" spans="1:5" ht="29.25" x14ac:dyDescent="0.25">
      <c r="A1" s="39" t="s">
        <v>6</v>
      </c>
      <c r="B1" s="38" t="s">
        <v>97</v>
      </c>
      <c r="C1" s="38" t="s">
        <v>102</v>
      </c>
      <c r="D1" s="38" t="s">
        <v>103</v>
      </c>
      <c r="E1" s="38" t="s">
        <v>104</v>
      </c>
    </row>
    <row r="2" spans="1:5" x14ac:dyDescent="0.25">
      <c r="A2" s="37">
        <v>41064</v>
      </c>
      <c r="B2" t="s">
        <v>101</v>
      </c>
      <c r="C2">
        <v>19.334751034181533</v>
      </c>
      <c r="D2">
        <v>1.8269077878611433</v>
      </c>
      <c r="E2">
        <v>0.58492959999999994</v>
      </c>
    </row>
    <row r="3" spans="1:5" x14ac:dyDescent="0.25">
      <c r="A3" s="37">
        <v>41106</v>
      </c>
      <c r="B3" t="s">
        <v>101</v>
      </c>
      <c r="C3">
        <v>0.95247277145909737</v>
      </c>
      <c r="D3">
        <v>2.2250799980360076</v>
      </c>
      <c r="E3">
        <v>0.44546240000000004</v>
      </c>
    </row>
    <row r="4" spans="1:5" x14ac:dyDescent="0.25">
      <c r="A4" s="37">
        <v>41141</v>
      </c>
      <c r="B4" t="s">
        <v>101</v>
      </c>
      <c r="C4">
        <v>1.1429673257509161</v>
      </c>
      <c r="D4">
        <v>1.5224231565509525</v>
      </c>
      <c r="E4">
        <v>0.38821839999999996</v>
      </c>
    </row>
    <row r="5" spans="1:5" x14ac:dyDescent="0.25">
      <c r="A5" s="37">
        <v>41176</v>
      </c>
      <c r="B5" t="s">
        <v>101</v>
      </c>
      <c r="C5">
        <v>1.269963695278796</v>
      </c>
      <c r="D5">
        <v>1.4990012618347843</v>
      </c>
      <c r="E5">
        <v>0.40487119999999999</v>
      </c>
    </row>
    <row r="6" spans="1:5" x14ac:dyDescent="0.25">
      <c r="A6" s="37">
        <v>41064</v>
      </c>
      <c r="B6">
        <v>25</v>
      </c>
      <c r="C6">
        <v>37.960561197109747</v>
      </c>
      <c r="D6">
        <v>1.9674391561581546</v>
      </c>
    </row>
    <row r="7" spans="1:5" x14ac:dyDescent="0.25">
      <c r="A7" s="37">
        <v>41106</v>
      </c>
      <c r="B7">
        <v>25</v>
      </c>
      <c r="C7">
        <v>30.923615980038697</v>
      </c>
      <c r="D7">
        <v>2.1313924191713327</v>
      </c>
    </row>
    <row r="8" spans="1:5" x14ac:dyDescent="0.25">
      <c r="A8" s="37">
        <v>41141</v>
      </c>
      <c r="B8">
        <v>25</v>
      </c>
      <c r="C8">
        <v>27.431215818022004</v>
      </c>
      <c r="D8">
        <v>2.1548143138875018</v>
      </c>
    </row>
    <row r="9" spans="1:5" x14ac:dyDescent="0.25">
      <c r="A9" s="37">
        <v>41176</v>
      </c>
      <c r="B9">
        <v>25</v>
      </c>
      <c r="C9">
        <v>34.28901977252751</v>
      </c>
      <c r="D9">
        <v>1.6629545248479638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A37D-7733-4677-84E7-2C04C2390698}">
  <dimension ref="A1:E13"/>
  <sheetViews>
    <sheetView workbookViewId="0">
      <selection activeCell="G15" sqref="G15"/>
    </sheetView>
  </sheetViews>
  <sheetFormatPr defaultRowHeight="15" x14ac:dyDescent="0.25"/>
  <cols>
    <col min="1" max="1" width="10.28515625" style="37" bestFit="1" customWidth="1"/>
  </cols>
  <sheetData>
    <row r="1" spans="1:5" ht="29.25" x14ac:dyDescent="0.25">
      <c r="A1" s="39" t="s">
        <v>6</v>
      </c>
      <c r="B1" s="38" t="s">
        <v>97</v>
      </c>
      <c r="C1" s="38" t="s">
        <v>102</v>
      </c>
      <c r="D1" s="38" t="s">
        <v>103</v>
      </c>
      <c r="E1" s="38" t="s">
        <v>104</v>
      </c>
    </row>
    <row r="2" spans="1:5" x14ac:dyDescent="0.25">
      <c r="A2" s="37">
        <v>41410</v>
      </c>
      <c r="B2" t="s">
        <v>101</v>
      </c>
      <c r="C2">
        <v>13.950620503575916</v>
      </c>
      <c r="D2" t="s">
        <v>108</v>
      </c>
      <c r="E2">
        <v>0.79308960000000006</v>
      </c>
    </row>
    <row r="3" spans="1:5" x14ac:dyDescent="0.25">
      <c r="A3" s="37">
        <v>41442</v>
      </c>
      <c r="B3" t="s">
        <v>101</v>
      </c>
      <c r="C3">
        <v>0.42458410228274523</v>
      </c>
      <c r="D3" t="s">
        <v>108</v>
      </c>
      <c r="E3">
        <v>0.48709440000000004</v>
      </c>
    </row>
    <row r="4" spans="1:5" x14ac:dyDescent="0.25">
      <c r="A4" s="37">
        <v>41476</v>
      </c>
      <c r="B4" t="s">
        <v>101</v>
      </c>
      <c r="C4">
        <v>0.36392923052806742</v>
      </c>
      <c r="D4" t="s">
        <v>108</v>
      </c>
      <c r="E4">
        <v>0.25707760000000002</v>
      </c>
    </row>
    <row r="5" spans="1:5" x14ac:dyDescent="0.25">
      <c r="A5" s="37">
        <v>41498</v>
      </c>
      <c r="B5" t="s">
        <v>101</v>
      </c>
      <c r="C5">
        <v>0.54589384579210098</v>
      </c>
      <c r="D5">
        <v>2.1654789767365838</v>
      </c>
      <c r="E5">
        <v>0.3236888</v>
      </c>
    </row>
    <row r="6" spans="1:5" x14ac:dyDescent="0.25">
      <c r="A6" s="37">
        <v>41533</v>
      </c>
      <c r="B6" t="s">
        <v>101</v>
      </c>
      <c r="C6">
        <v>0.54589384579210098</v>
      </c>
      <c r="D6" t="s">
        <v>108</v>
      </c>
      <c r="E6">
        <v>0.46836</v>
      </c>
    </row>
    <row r="7" spans="1:5" x14ac:dyDescent="0.25">
      <c r="A7" s="37">
        <v>41562</v>
      </c>
      <c r="B7" t="s">
        <v>101</v>
      </c>
      <c r="C7">
        <v>0.66720358930145696</v>
      </c>
      <c r="D7">
        <v>5.5219713906782877</v>
      </c>
      <c r="E7">
        <v>0.76602879999999995</v>
      </c>
    </row>
    <row r="8" spans="1:5" x14ac:dyDescent="0.25">
      <c r="A8" s="37">
        <v>41410</v>
      </c>
      <c r="B8">
        <v>25</v>
      </c>
      <c r="C8">
        <v>27.719276391887796</v>
      </c>
      <c r="D8" t="s">
        <v>108</v>
      </c>
    </row>
    <row r="9" spans="1:5" x14ac:dyDescent="0.25">
      <c r="A9" s="37">
        <v>41442</v>
      </c>
      <c r="B9">
        <v>25</v>
      </c>
      <c r="C9">
        <v>29.660232288037491</v>
      </c>
      <c r="D9" t="s">
        <v>108</v>
      </c>
    </row>
    <row r="10" spans="1:5" x14ac:dyDescent="0.25">
      <c r="A10" s="37">
        <v>41476</v>
      </c>
      <c r="B10">
        <v>25</v>
      </c>
      <c r="C10">
        <v>30.630710236112343</v>
      </c>
      <c r="D10" t="s">
        <v>108</v>
      </c>
    </row>
    <row r="11" spans="1:5" x14ac:dyDescent="0.25">
      <c r="A11" s="37">
        <v>41498</v>
      </c>
      <c r="B11">
        <v>25</v>
      </c>
      <c r="C11">
        <v>28.325825109434579</v>
      </c>
      <c r="D11">
        <v>2.4361638488286563</v>
      </c>
    </row>
    <row r="12" spans="1:5" x14ac:dyDescent="0.25">
      <c r="A12" s="37">
        <v>41533</v>
      </c>
      <c r="B12">
        <v>25</v>
      </c>
      <c r="C12">
        <v>31.722497927696541</v>
      </c>
      <c r="D12">
        <v>2.2466844383642055</v>
      </c>
    </row>
    <row r="13" spans="1:5" x14ac:dyDescent="0.25">
      <c r="A13" s="37">
        <v>41562</v>
      </c>
      <c r="B13">
        <v>25</v>
      </c>
      <c r="C13">
        <v>29.902851775056206</v>
      </c>
      <c r="D13">
        <v>2.0301365406905467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ZPL2008</vt:lpstr>
      <vt:lpstr>ZPL2009</vt:lpstr>
      <vt:lpstr>ZPL2010</vt:lpstr>
      <vt:lpstr>ZPL2011</vt:lpstr>
      <vt:lpstr>ZPL2012</vt:lpstr>
      <vt:lpstr>ZPL2013</vt:lpstr>
      <vt:lpstr>PPL2008</vt:lpstr>
      <vt:lpstr>PPL2009</vt:lpstr>
      <vt:lpstr>PPL2010</vt:lpstr>
      <vt:lpstr>PPL2011</vt:lpstr>
      <vt:lpstr>PPL2012</vt:lpstr>
      <vt:lpstr>CHEM2008</vt:lpstr>
      <vt:lpstr>CHEM2009</vt:lpstr>
      <vt:lpstr>CHEM2010</vt:lpstr>
      <vt:lpstr>CHEM2011</vt:lpstr>
      <vt:lpstr>CHEM2012</vt:lpstr>
      <vt:lpstr>CHEM2013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Nicholas</dc:creator>
  <cp:lastModifiedBy>Brown, Nicholas</cp:lastModifiedBy>
  <dcterms:created xsi:type="dcterms:W3CDTF">2015-06-05T18:17:20Z</dcterms:created>
  <dcterms:modified xsi:type="dcterms:W3CDTF">2022-12-19T21:52:51Z</dcterms:modified>
</cp:coreProperties>
</file>